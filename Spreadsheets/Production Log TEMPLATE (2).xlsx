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Tray Production Schedule" sheetId="2" r:id="rId5"/>
    <sheet state="visible" name="Products (Demand)" sheetId="3" r:id="rId6"/>
    <sheet state="visible" name="Formulations" sheetId="4" r:id="rId7"/>
    <sheet state="visible" name="Input Guide" sheetId="5" r:id="rId8"/>
    <sheet state="visible" name="FD Planner" sheetId="6" r:id="rId9"/>
    <sheet state="visible" name="Resource Usage" sheetId="7" r:id="rId10"/>
    <sheet state="visible" name="Production Actuals" sheetId="8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This is what we change
	-lukas haracz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Adjust this
	-lukas haracz</t>
      </text>
    </comment>
    <comment authorId="0" ref="C1">
      <text>
        <t xml:space="preserve">Adjust this
	-lukas haracz</t>
      </text>
    </comment>
  </commentList>
</comments>
</file>

<file path=xl/sharedStrings.xml><?xml version="1.0" encoding="utf-8"?>
<sst xmlns="http://schemas.openxmlformats.org/spreadsheetml/2006/main" count="245" uniqueCount="117">
  <si>
    <t>MONTH:</t>
  </si>
  <si>
    <t>December</t>
  </si>
  <si>
    <t>Raw Materials Cost:</t>
  </si>
  <si>
    <t>DAYS THIS MONTH</t>
  </si>
  <si>
    <t>YEAR:</t>
  </si>
  <si>
    <t>Revenue:</t>
  </si>
  <si>
    <t>BATCHID:</t>
  </si>
  <si>
    <t>Profit:</t>
  </si>
  <si>
    <t>Ingredients</t>
  </si>
  <si>
    <t>Required (g)</t>
  </si>
  <si>
    <t>COST$</t>
  </si>
  <si>
    <t>Materials</t>
  </si>
  <si>
    <t>Required</t>
  </si>
  <si>
    <t>Production (TRAYS)</t>
  </si>
  <si>
    <t>Rounded</t>
  </si>
  <si>
    <t>Amaranth</t>
  </si>
  <si>
    <t>Bottles</t>
  </si>
  <si>
    <t>Arugula</t>
  </si>
  <si>
    <t>Capsules</t>
  </si>
  <si>
    <t>Ashwagandha</t>
  </si>
  <si>
    <t>Labels</t>
  </si>
  <si>
    <t>Basil</t>
  </si>
  <si>
    <t>Lids</t>
  </si>
  <si>
    <t>Beet</t>
  </si>
  <si>
    <t>Seals</t>
  </si>
  <si>
    <t>Bladder Wrack</t>
  </si>
  <si>
    <t>Shrink Seals</t>
  </si>
  <si>
    <t>Broccoli</t>
  </si>
  <si>
    <t>Cabbage</t>
  </si>
  <si>
    <t>Cantaloupe</t>
  </si>
  <si>
    <t>Chaga 10:1</t>
  </si>
  <si>
    <t>Cordyceps 10:1</t>
  </si>
  <si>
    <t>Kale</t>
  </si>
  <si>
    <t xml:space="preserve"> </t>
  </si>
  <si>
    <t>Lion’s Mane 10:1</t>
  </si>
  <si>
    <t>Mustard</t>
  </si>
  <si>
    <t>Pea</t>
  </si>
  <si>
    <t>Popcorn</t>
  </si>
  <si>
    <t>Purple Irish sea moss</t>
  </si>
  <si>
    <t>Radish</t>
  </si>
  <si>
    <t>Reishi 10:1</t>
  </si>
  <si>
    <t>Sunflower</t>
  </si>
  <si>
    <t>Upland Cress</t>
  </si>
  <si>
    <t>Wheatgrass</t>
  </si>
  <si>
    <t>Production Month</t>
  </si>
  <si>
    <t>Year</t>
  </si>
  <si>
    <t>Anchor Day</t>
  </si>
  <si>
    <t>Anchor Date</t>
  </si>
  <si>
    <t>MICROGREEN</t>
  </si>
  <si>
    <t>TRAYS NEEDED</t>
  </si>
  <si>
    <t>YIELD/TRAY</t>
  </si>
  <si>
    <t>GROWTH DAYS</t>
  </si>
  <si>
    <t>TRAYS/FD RUN</t>
  </si>
  <si>
    <t># RUNS NEEDED</t>
  </si>
  <si>
    <t>FIRST SOW DATE</t>
  </si>
  <si>
    <t>CUM RUNS</t>
  </si>
  <si>
    <t>RUN #</t>
  </si>
  <si>
    <t>TRAYS THIS RUN</t>
  </si>
  <si>
    <t>SOWING DATE</t>
  </si>
  <si>
    <t>HARVEST DATE</t>
  </si>
  <si>
    <t>PRODUCT</t>
  </si>
  <si>
    <t>SELL PRICE</t>
  </si>
  <si>
    <t>CAPSULES PER BOTTLE</t>
  </si>
  <si>
    <t>CAPSULE FILL (g)</t>
  </si>
  <si>
    <t>UNITS TO MAKE</t>
  </si>
  <si>
    <t>TOTAL POWDER (g)</t>
  </si>
  <si>
    <t>Mushroom</t>
  </si>
  <si>
    <t>Complete102+</t>
  </si>
  <si>
    <t>INGREDIENT</t>
  </si>
  <si>
    <t>GRAMS NEEDED</t>
  </si>
  <si>
    <t>PERCENT OF FORMULA</t>
  </si>
  <si>
    <t>GRAMS NEEDED FOR BATCH</t>
  </si>
  <si>
    <t>Purple Irish Sea Moss</t>
  </si>
  <si>
    <t>INPUT</t>
  </si>
  <si>
    <t>COST/UNIT</t>
  </si>
  <si>
    <t>FRESH YIELD (oz)</t>
  </si>
  <si>
    <t>DRIED WEIGHT (g)</t>
  </si>
  <si>
    <t>SOW RATE(g)</t>
  </si>
  <si>
    <t>Growth Days</t>
  </si>
  <si>
    <t>ASSUMPTIONS</t>
  </si>
  <si>
    <t>DRIED NEEDED (g)</t>
  </si>
  <si>
    <t>FRESH NEEDED (g)</t>
  </si>
  <si>
    <t>Number of freeze dryers</t>
  </si>
  <si>
    <t>Trays per machine per cycle</t>
  </si>
  <si>
    <t>Cycle time (hours)</t>
  </si>
  <si>
    <t>Defrost/Clean time per cycle (hours)</t>
  </si>
  <si>
    <t>Operating days per week</t>
  </si>
  <si>
    <t>Operating hours per day</t>
  </si>
  <si>
    <t>Days planned this month</t>
  </si>
  <si>
    <t>Fresh load per FD tray (g)</t>
  </si>
  <si>
    <t>Avg dried yield per FD tray (g)</t>
  </si>
  <si>
    <t>Dry matter fraction</t>
  </si>
  <si>
    <t>CAPACITY</t>
  </si>
  <si>
    <t>Trays per cycle</t>
  </si>
  <si>
    <t>Hours per cycle</t>
  </si>
  <si>
    <t>Per-cycle fresh capacity (g)</t>
  </si>
  <si>
    <t>Total available hours this month</t>
  </si>
  <si>
    <t>Cycles needed</t>
  </si>
  <si>
    <t>Hours needed</t>
  </si>
  <si>
    <t>Max cycles available</t>
  </si>
  <si>
    <t>RESOURCE</t>
  </si>
  <si>
    <t>UNIT</t>
  </si>
  <si>
    <t>QTY USED</t>
  </si>
  <si>
    <t>COST USED</t>
  </si>
  <si>
    <t>ORDER MORE</t>
  </si>
  <si>
    <t>grams</t>
  </si>
  <si>
    <t>units</t>
  </si>
  <si>
    <t>BOTTLES PLANNED</t>
  </si>
  <si>
    <t>ACTUAL BOTTLES</t>
  </si>
  <si>
    <t>VARIANCE BOTTLES</t>
  </si>
  <si>
    <t>CAPS PLANNED</t>
  </si>
  <si>
    <t>EXCESS CAPS</t>
  </si>
  <si>
    <t>ACTUAL CAPS</t>
  </si>
  <si>
    <t>VARIANCE CAPS</t>
  </si>
  <si>
    <t>TRAYS PLANNED</t>
  </si>
  <si>
    <t>ACTUAL TRAYS</t>
  </si>
  <si>
    <t>VARIANCE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</si>
</sst>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sz val="3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0" xfId="0" applyFon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horizontal="left" readingOrder="0"/>
    </xf>
    <xf borderId="0" fillId="0" fontId="2" numFmtId="14" xfId="0" applyAlignment="1" applyFont="1" applyNumberFormat="1">
      <alignment horizontal="left" readingOrder="0"/>
    </xf>
    <xf borderId="0" fillId="0" fontId="2" numFmtId="14" xfId="0" applyFont="1" applyNumberFormat="1"/>
    <xf borderId="0" fillId="0" fontId="2" numFmtId="1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4" numFmtId="0" xfId="0" applyAlignment="1" applyFont="1">
      <alignment readingOrder="0" vertical="bottom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2">
    <dxf>
      <font>
        <color rgb="FFB71C1C"/>
      </font>
      <fill>
        <patternFill patternType="solid">
          <fgColor rgb="FFFFCDD2"/>
          <bgColor rgb="FFFFCDD2"/>
        </patternFill>
      </fill>
      <border/>
    </dxf>
    <dxf>
      <font>
        <color rgb="FF1B5E20"/>
      </font>
      <fill>
        <patternFill patternType="solid">
          <fgColor rgb="FFC8E6C9"/>
          <bgColor rgb="FFC8E6C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3.63"/>
    <col customWidth="1" min="3" max="3" width="16.88"/>
    <col customWidth="1" min="4" max="4" width="15.88"/>
    <col customWidth="1" min="6" max="7" width="16.88"/>
    <col customWidth="1" min="10" max="10" width="21.5"/>
    <col customWidth="1" min="11" max="11" width="16.25"/>
  </cols>
  <sheetData>
    <row r="1">
      <c r="A1" s="1" t="s">
        <v>0</v>
      </c>
      <c r="B1" s="2" t="s">
        <v>1</v>
      </c>
      <c r="C1" s="1" t="s">
        <v>2</v>
      </c>
      <c r="D1" s="3">
        <f>SUM(C6:C27,F6:F11)</f>
        <v>1311.461481</v>
      </c>
      <c r="E1" s="1" t="s">
        <v>3</v>
      </c>
    </row>
    <row r="2">
      <c r="A2" s="1" t="s">
        <v>4</v>
      </c>
      <c r="B2" s="2">
        <v>2025.0</v>
      </c>
      <c r="C2" s="1" t="s">
        <v>5</v>
      </c>
      <c r="D2" s="3">
        <f>SUMPRODUCT('Products (Demand)'!B2:B30,'Products (Demand)'!E2:E30)</f>
        <v>11904</v>
      </c>
      <c r="E2" s="4">
        <f t="array" ref="E2">DAY(EOMONTH(DATE(B2, MATCH(B1, {"January","February","March","April","May","June","July","August","September","October","November","December"}, 0), 1), 0))</f>
        <v>31</v>
      </c>
    </row>
    <row r="3">
      <c r="A3" s="1" t="s">
        <v>6</v>
      </c>
      <c r="B3" s="4" t="str">
        <f>MONTH(DATEVALUE(B1 &amp; " 1")) &amp; RIGHT(B2,2)</f>
        <v>1225</v>
      </c>
      <c r="C3" s="1" t="s">
        <v>7</v>
      </c>
      <c r="D3" s="3">
        <f>D2-D1</f>
        <v>10592.53852</v>
      </c>
      <c r="J3" s="1"/>
      <c r="K3" s="1"/>
    </row>
    <row r="4">
      <c r="J4" s="1"/>
    </row>
    <row r="5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10</v>
      </c>
      <c r="G5" s="5" t="s">
        <v>13</v>
      </c>
      <c r="H5" s="5" t="s">
        <v>14</v>
      </c>
      <c r="I5" s="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7" t="s">
        <v>15</v>
      </c>
      <c r="B6" s="4">
        <f>IF($A6="","",
  SUMIF(Formulations!$B:$B, $A6, Formulations!E:E)
)</f>
        <v>0</v>
      </c>
      <c r="C6" s="3">
        <f>(B6/Vlookup(A6,'Input Guide'!$A$2:$D$108,4,false))*vlookup(A6,'Input Guide'!$A$1:$B$143,2,false)</f>
        <v>0</v>
      </c>
      <c r="D6" s="2" t="s">
        <v>16</v>
      </c>
      <c r="E6" s="4">
        <f>SUM('Products (Demand)'!$E$2:$E$20)</f>
        <v>501</v>
      </c>
      <c r="F6" s="3">
        <f>E6*VLOOKUP(D6,'Input Guide'!$A$1:$B$31,2,false)</f>
        <v>230.46</v>
      </c>
      <c r="G6" s="4">
        <f>IF('Input Guide'!C2="","",B6/vlookup(A6,'Input Guide'!$A$1:$D$130,4,false))</f>
        <v>0</v>
      </c>
      <c r="H6" s="4">
        <f t="shared" ref="H6:H28" si="1">CEILING(G6,1)</f>
        <v>0</v>
      </c>
    </row>
    <row r="7">
      <c r="A7" s="7" t="s">
        <v>17</v>
      </c>
      <c r="B7" s="4">
        <f>IF($A7="","",
  SUMIF(Formulations!$B:$B, $A7, Formulations!E:E)
)</f>
        <v>0</v>
      </c>
      <c r="C7" s="3">
        <f>(B7/Vlookup(A7,'Input Guide'!$A$2:$D$108,4,false))*vlookup(A7,'Input Guide'!$A$1:$B$143,2,false)</f>
        <v>0</v>
      </c>
      <c r="D7" s="2" t="s">
        <v>18</v>
      </c>
      <c r="E7" s="4">
        <f>SUMPRODUCT('Products (Demand)'!C2:C16,'Products (Demand)'!E2:E16)</f>
        <v>30060</v>
      </c>
      <c r="F7" s="3">
        <f>E7*VLOOKUP(D7,'Input Guide'!$A$1:$B$31,2,false)</f>
        <v>462.924</v>
      </c>
      <c r="G7" s="4">
        <f>IF('Input Guide'!C3="","",B7/vlookup(A7,'Input Guide'!$A$1:$D$130,4,false))</f>
        <v>0</v>
      </c>
      <c r="H7" s="4">
        <f t="shared" si="1"/>
        <v>0</v>
      </c>
    </row>
    <row r="8">
      <c r="A8" s="2" t="s">
        <v>19</v>
      </c>
      <c r="B8" s="4">
        <f>IF($A8="","",
  SUMIF(Formulations!$B:$B, $A8, Formulations!E:E)
)</f>
        <v>1014.314112</v>
      </c>
      <c r="C8" s="3">
        <f>(B8/Vlookup(A8,'Input Guide'!$A$2:$D$108,4,false))*vlookup(A8,'Input Guide'!$A$1:$B$143,2,false)</f>
        <v>14.20039757</v>
      </c>
      <c r="D8" s="2" t="s">
        <v>20</v>
      </c>
      <c r="E8" s="4">
        <f>SUM('Products (Demand)'!$E$2:$E$20)</f>
        <v>501</v>
      </c>
      <c r="F8" s="3">
        <f>E8*VLOOKUP(D8,'Input Guide'!$A$1:$B$31,2,false)</f>
        <v>5.01</v>
      </c>
      <c r="G8" s="4" t="str">
        <f>IF('Input Guide'!C4="","",B8/vlookup(A8,'Input Guide'!$A$1:$D$130,4,false))</f>
        <v/>
      </c>
      <c r="H8" s="4">
        <f t="shared" si="1"/>
        <v>0</v>
      </c>
    </row>
    <row r="9">
      <c r="A9" s="7" t="s">
        <v>21</v>
      </c>
      <c r="B9" s="4">
        <f>IF($A9="","",
  SUMIF(Formulations!$B:$B, $A9, Formulations!E:E)
)</f>
        <v>0</v>
      </c>
      <c r="C9" s="3">
        <f>(B9/Vlookup(A9,'Input Guide'!$A$2:$D$108,4,false))*vlookup(A9,'Input Guide'!$A$1:$B$143,2,false)</f>
        <v>0</v>
      </c>
      <c r="D9" s="2" t="s">
        <v>22</v>
      </c>
      <c r="E9" s="4">
        <f>SUM('Products (Demand)'!$E$2:$E$20)</f>
        <v>501</v>
      </c>
      <c r="F9" s="3">
        <f>E9*VLOOKUP(D9,'Input Guide'!$A$1:$B$31,2,false)</f>
        <v>55.11</v>
      </c>
      <c r="G9" s="4">
        <f>IF('Input Guide'!C5="","",B9/vlookup(A9,'Input Guide'!$A$1:$D$130,4,false))</f>
        <v>0</v>
      </c>
      <c r="H9" s="4">
        <f t="shared" si="1"/>
        <v>0</v>
      </c>
    </row>
    <row r="10">
      <c r="A10" s="7" t="s">
        <v>23</v>
      </c>
      <c r="B10" s="4">
        <f>IF($A10="","",
  SUMIF(Formulations!$B:$B, $A10, Formulations!E:E)
)</f>
        <v>0</v>
      </c>
      <c r="C10" s="3">
        <f>(B10/Vlookup(A10,'Input Guide'!$A$2:$D$108,4,false))*vlookup(A10,'Input Guide'!$A$1:$B$143,2,false)</f>
        <v>0</v>
      </c>
      <c r="D10" s="2" t="s">
        <v>24</v>
      </c>
      <c r="E10" s="4">
        <f>SUM('Products (Demand)'!$E$2:$E$20)</f>
        <v>501</v>
      </c>
      <c r="F10" s="3">
        <f>E10*VLOOKUP(D10,'Input Guide'!$A$1:$B$31,2,false)</f>
        <v>0</v>
      </c>
      <c r="G10" s="4">
        <f>IF('Input Guide'!C6="","",B10/vlookup(A10,'Input Guide'!$A$1:$D$130,4,false))</f>
        <v>0</v>
      </c>
      <c r="H10" s="4">
        <f t="shared" si="1"/>
        <v>0</v>
      </c>
    </row>
    <row r="11">
      <c r="A11" s="7" t="s">
        <v>25</v>
      </c>
      <c r="B11" s="4">
        <f>IF($A11="","",
  SUMIF(Formulations!$B:$B, $A11, Formulations!E:E)
)</f>
        <v>1076.11056</v>
      </c>
      <c r="C11" s="3">
        <f>(B11/Vlookup(A11,'Input Guide'!$A$2:$D$108,4,false))*vlookup(A11,'Input Guide'!$A$1:$B$143,2,false)</f>
        <v>21.5222112</v>
      </c>
      <c r="D11" s="2" t="s">
        <v>26</v>
      </c>
      <c r="E11" s="4">
        <f>SUM('Products (Demand)'!$E$2:$E$20)</f>
        <v>501</v>
      </c>
      <c r="F11" s="3">
        <f>E11*VLOOKUP(D11,'Input Guide'!$A$1:$B$31,2,false)</f>
        <v>0</v>
      </c>
      <c r="G11" s="4" t="str">
        <f>IF('Input Guide'!C7="","",B11/vlookup(A11,'Input Guide'!$A$1:$D$130,4,false))</f>
        <v/>
      </c>
      <c r="H11" s="4">
        <f t="shared" si="1"/>
        <v>0</v>
      </c>
    </row>
    <row r="12">
      <c r="A12" s="7" t="s">
        <v>27</v>
      </c>
      <c r="B12" s="4">
        <f>IF($A12="","",
  SUMIF(Formulations!$B:$B, $A12, Formulations!E:E)
)</f>
        <v>4975.079928</v>
      </c>
      <c r="C12" s="3">
        <f>(B12/Vlookup(A12,'Input Guide'!$A$2:$D$108,4,false))*vlookup(A12,'Input Guide'!$A$1:$B$143,2,false)</f>
        <v>183.9379699</v>
      </c>
      <c r="G12" s="4">
        <f>IF('Input Guide'!C8="","",B12/vlookup(A12,'Input Guide'!$A$1:$D$130,4,false))</f>
        <v>191.602052</v>
      </c>
      <c r="H12" s="4">
        <f t="shared" si="1"/>
        <v>192</v>
      </c>
    </row>
    <row r="13">
      <c r="A13" s="7" t="s">
        <v>28</v>
      </c>
      <c r="B13" s="4">
        <f>IF($A13="","",
  SUMIF(Formulations!$B:$B, $A13, Formulations!E:E)
)</f>
        <v>0</v>
      </c>
      <c r="C13" s="3">
        <f>(B13/Vlookup(A13,'Input Guide'!$A$2:$D$108,4,false))*vlookup(A13,'Input Guide'!$A$1:$B$143,2,false)</f>
        <v>0</v>
      </c>
      <c r="G13" s="4">
        <f>IF('Input Guide'!C9="","",B13/vlookup(A13,'Input Guide'!$A$1:$D$130,4,false))</f>
        <v>0</v>
      </c>
      <c r="H13" s="4">
        <f t="shared" si="1"/>
        <v>0</v>
      </c>
    </row>
    <row r="14">
      <c r="A14" s="7" t="s">
        <v>29</v>
      </c>
      <c r="B14" s="4">
        <f>IF($A14="","",
  SUMIF(Formulations!$B:$B, $A14, Formulations!E:E)
)</f>
        <v>0</v>
      </c>
      <c r="C14" s="3">
        <f>(B14/Vlookup(A14,'Input Guide'!$A$2:$D$108,4,false))*vlookup(A14,'Input Guide'!$A$1:$B$143,2,false)</f>
        <v>0</v>
      </c>
      <c r="G14" s="4">
        <f>IF('Input Guide'!C10="","",B14/vlookup(A14,'Input Guide'!$A$1:$D$130,4,false))</f>
        <v>0</v>
      </c>
      <c r="H14" s="4">
        <f t="shared" si="1"/>
        <v>0</v>
      </c>
    </row>
    <row r="15">
      <c r="A15" s="7" t="s">
        <v>30</v>
      </c>
      <c r="B15" s="4">
        <f>IF($A15="","",
  SUMIF(Formulations!$B:$B, $A15, Formulations!E:E)
)</f>
        <v>600</v>
      </c>
      <c r="C15" s="3">
        <f>(B15/Vlookup(A15,'Input Guide'!$A$2:$D$108,4,false))*vlookup(A15,'Input Guide'!$A$1:$B$143,2,false)</f>
        <v>15.6</v>
      </c>
      <c r="G15" s="4" t="str">
        <f>IF('Input Guide'!C11="","",B15/vlookup(A15,'Input Guide'!$A$1:$D$130,4,false))</f>
        <v/>
      </c>
      <c r="H15" s="4">
        <f t="shared" si="1"/>
        <v>0</v>
      </c>
    </row>
    <row r="16">
      <c r="A16" s="7" t="s">
        <v>31</v>
      </c>
      <c r="B16" s="4">
        <f>IF($A16="","",
  SUMIF(Formulations!$B:$B, $A16, Formulations!E:E)
)</f>
        <v>1800</v>
      </c>
      <c r="C16" s="3">
        <f>(B16/Vlookup(A16,'Input Guide'!$A$2:$D$108,4,false))*vlookup(A16,'Input Guide'!$A$1:$B$143,2,false)</f>
        <v>88.2</v>
      </c>
      <c r="G16" s="4" t="str">
        <f>IF('Input Guide'!C12="","",B16/vlookup(A16,'Input Guide'!$A$1:$D$130,4,false))</f>
        <v/>
      </c>
      <c r="H16" s="4">
        <f t="shared" si="1"/>
        <v>0</v>
      </c>
    </row>
    <row r="17">
      <c r="A17" s="7" t="s">
        <v>32</v>
      </c>
      <c r="B17" s="4">
        <f>IF($A17="","",
  SUMIF(Formulations!$B:$B, $A17, Formulations!E:E)
)</f>
        <v>0</v>
      </c>
      <c r="C17" s="3">
        <f>(B17/Vlookup(A17,'Input Guide'!$A$2:$D$108,4,false))*vlookup(A17,'Input Guide'!$A$1:$B$143,2,false)</f>
        <v>0</v>
      </c>
      <c r="G17" s="4">
        <f>IF('Input Guide'!C13="","",B17/vlookup(A17,'Input Guide'!$A$1:$D$130,4,false))</f>
        <v>0</v>
      </c>
      <c r="H17" s="4">
        <f t="shared" si="1"/>
        <v>0</v>
      </c>
      <c r="J17" s="2" t="s">
        <v>33</v>
      </c>
    </row>
    <row r="18">
      <c r="A18" s="7" t="s">
        <v>34</v>
      </c>
      <c r="B18" s="4">
        <f>IF($A18="","",
  SUMIF(Formulations!$B:$B, $A18, Formulations!E:E)
)</f>
        <v>1641.098784</v>
      </c>
      <c r="C18" s="3">
        <f>(B18/Vlookup(A18,'Input Guide'!$A$2:$D$108,4,false))*vlookup(A18,'Input Guide'!$A$1:$B$143,2,false)</f>
        <v>66.46450075</v>
      </c>
      <c r="G18" s="4" t="str">
        <f>IF('Input Guide'!C14="","",B18/vlookup(A18,'Input Guide'!$A$1:$D$130,4,false))</f>
        <v/>
      </c>
      <c r="H18" s="4">
        <f t="shared" si="1"/>
        <v>0</v>
      </c>
    </row>
    <row r="19">
      <c r="A19" s="7" t="s">
        <v>35</v>
      </c>
      <c r="B19" s="4">
        <f>IF($A19="","",
  SUMIF(Formulations!$B:$B, $A19, Formulations!E:E)
)</f>
        <v>0</v>
      </c>
      <c r="C19" s="3">
        <f>(B19/Vlookup(A19,'Input Guide'!$A$2:$D$108,4,false))*vlookup(A19,'Input Guide'!$A$1:$B$143,2,false)</f>
        <v>0</v>
      </c>
      <c r="G19" s="4">
        <f>IF('Input Guide'!C15="","",B19/vlookup(A19,'Input Guide'!$A$1:$D$130,4,false))</f>
        <v>0</v>
      </c>
      <c r="H19" s="4">
        <f t="shared" si="1"/>
        <v>0</v>
      </c>
    </row>
    <row r="20">
      <c r="A20" s="7" t="s">
        <v>36</v>
      </c>
      <c r="B20" s="4">
        <f>IF($A20="","",
  SUMIF(Formulations!$B:$B, $A20, Formulations!E:E)
)</f>
        <v>0</v>
      </c>
      <c r="C20" s="3">
        <f>(B20/Vlookup(A20,'Input Guide'!$A$2:$D$108,4,false))*vlookup(A20,'Input Guide'!$A$1:$B$143,2,false)</f>
        <v>0</v>
      </c>
      <c r="G20" s="4">
        <f>IF('Input Guide'!C16="","",B20/vlookup(A20,'Input Guide'!$A$1:$D$130,4,false))</f>
        <v>0</v>
      </c>
      <c r="H20" s="4">
        <f t="shared" si="1"/>
        <v>0</v>
      </c>
    </row>
    <row r="21">
      <c r="A21" s="7" t="s">
        <v>37</v>
      </c>
      <c r="B21" s="4">
        <f>IF($A21="","",
  SUMIF(Formulations!$B:$B, $A21, Formulations!E:E)
)</f>
        <v>0</v>
      </c>
      <c r="C21" s="3">
        <f>(B21/Vlookup(A21,'Input Guide'!$A$2:$D$108,4,false))*vlookup(A21,'Input Guide'!$A$1:$B$143,2,false)</f>
        <v>0</v>
      </c>
      <c r="G21" s="4">
        <f>IF('Input Guide'!C17="","",B21/vlookup(A21,'Input Guide'!$A$1:$D$130,4,false))</f>
        <v>0</v>
      </c>
      <c r="H21" s="4">
        <f t="shared" si="1"/>
        <v>0</v>
      </c>
    </row>
    <row r="22">
      <c r="A22" s="7" t="s">
        <v>38</v>
      </c>
      <c r="B22" s="4">
        <f>IF($A22="","",
  SUMIF(Formulations!$B:$B, $A22, Formulations!E:E)
)</f>
        <v>1076.11056</v>
      </c>
      <c r="C22" s="3">
        <f>(B22/Vlookup(A22,'Input Guide'!$A$2:$D$108,4,false))*vlookup(A22,'Input Guide'!$A$1:$B$143,2,false)</f>
        <v>113.8761417</v>
      </c>
      <c r="G22" s="4" t="str">
        <f>IF('Input Guide'!C18="","",B22/vlookup(A22,'Input Guide'!$A$1:$D$130,4,false))</f>
        <v/>
      </c>
      <c r="H22" s="4">
        <f t="shared" si="1"/>
        <v>0</v>
      </c>
    </row>
    <row r="23">
      <c r="A23" s="7" t="s">
        <v>39</v>
      </c>
      <c r="B23" s="4">
        <f>IF($A23="","",
  SUMIF(Formulations!$B:$B, $A23, Formulations!E:E)
)</f>
        <v>0</v>
      </c>
      <c r="C23" s="3">
        <f>(B23/Vlookup(A23,'Input Guide'!$A$2:$D$108,4,false))*vlookup(A23,'Input Guide'!$A$1:$B$143,2,false)</f>
        <v>0</v>
      </c>
      <c r="G23" s="4">
        <f>IF('Input Guide'!C19="","",B23/vlookup(A23,'Input Guide'!$A$1:$D$130,4,false))</f>
        <v>0</v>
      </c>
      <c r="H23" s="4">
        <f t="shared" si="1"/>
        <v>0</v>
      </c>
    </row>
    <row r="24">
      <c r="A24" s="7" t="s">
        <v>40</v>
      </c>
      <c r="B24" s="4">
        <f>IF($A24="","",
  SUMIF(Formulations!$B:$B, $A24, Formulations!E:E)
)</f>
        <v>1641.098784</v>
      </c>
      <c r="C24" s="3">
        <f>(B24/Vlookup(A24,'Input Guide'!$A$2:$D$108,4,false))*vlookup(A24,'Input Guide'!$A$1:$B$143,2,false)</f>
        <v>54.15625987</v>
      </c>
      <c r="G24" s="4" t="str">
        <f>IF('Input Guide'!C20="","",B24/vlookup(A24,'Input Guide'!$A$1:$D$130,4,false))</f>
        <v/>
      </c>
      <c r="H24" s="4">
        <f t="shared" si="1"/>
        <v>0</v>
      </c>
    </row>
    <row r="25">
      <c r="A25" s="7" t="s">
        <v>41</v>
      </c>
      <c r="B25" s="4">
        <f>IF($A25="","",
  SUMIF(Formulations!$B:$B, $A25, Formulations!E:E)
)</f>
        <v>0</v>
      </c>
      <c r="C25" s="3">
        <f>(B25/Vlookup(A25,'Input Guide'!$A$2:$D$108,4,false))*vlookup(A25,'Input Guide'!$A$1:$B$143,2,false)</f>
        <v>0</v>
      </c>
      <c r="G25" s="4">
        <f>IF('Input Guide'!C21="","",B25/vlookup(A25,'Input Guide'!$A$1:$D$130,4,false))</f>
        <v>0</v>
      </c>
      <c r="H25" s="4">
        <f t="shared" si="1"/>
        <v>0</v>
      </c>
    </row>
    <row r="26">
      <c r="A26" s="7" t="s">
        <v>42</v>
      </c>
      <c r="B26" s="4">
        <f>IF($A26="","",
  SUMIF(Formulations!$B:$B, $A26, Formulations!E:E)
)</f>
        <v>0</v>
      </c>
      <c r="C26" s="3">
        <f>(B26/Vlookup(A26,'Input Guide'!$A$2:$D$108,4,false))*vlookup(A26,'Input Guide'!$A$1:$B$143,2,false)</f>
        <v>0</v>
      </c>
      <c r="G26" s="4">
        <f>IF('Input Guide'!C22="","",B26/vlookup(A26,'Input Guide'!$A$1:$D$130,4,false))</f>
        <v>0</v>
      </c>
      <c r="H26" s="4">
        <f t="shared" si="1"/>
        <v>0</v>
      </c>
    </row>
    <row r="27">
      <c r="A27" s="7" t="s">
        <v>43</v>
      </c>
      <c r="B27" s="4">
        <f>IF($A27="","",
  SUMIF(Formulations!$B:$B, $A27, Formulations!E:E)
)</f>
        <v>0</v>
      </c>
      <c r="C27" s="3">
        <f>(B27/Vlookup(A27,'Input Guide'!$A$2:$D$108,4,false))*vlookup(A27,'Input Guide'!$A$1:$B$143,2,false)</f>
        <v>0</v>
      </c>
      <c r="G27" s="4">
        <f>IF('Input Guide'!C23="","",B27/vlookup(A27,'Input Guide'!$A$1:$D$130,4,false))</f>
        <v>0</v>
      </c>
      <c r="H27" s="4">
        <f t="shared" si="1"/>
        <v>0</v>
      </c>
    </row>
    <row r="28">
      <c r="G28" s="8">
        <f>SUM(G6:G27)</f>
        <v>191.602052</v>
      </c>
      <c r="H28" s="8">
        <f t="shared" si="1"/>
        <v>192</v>
      </c>
    </row>
  </sheetData>
  <dataValidations>
    <dataValidation type="list" allowBlank="1" showErrorMessage="1" sqref="B1">
      <formula1>"January,February,March,April,May,June,July,August,September,October,November,December"</formula1>
    </dataValidation>
    <dataValidation type="list" allowBlank="1" showErrorMessage="1" sqref="B2">
      <formula1>"2025,2026,2027,2028"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3.88"/>
    <col customWidth="1" min="3" max="3" width="14.88"/>
    <col customWidth="1" min="4" max="4" width="13.5"/>
    <col customWidth="1" min="6" max="6" width="14.5"/>
    <col customWidth="1" min="7" max="7" width="15.13"/>
  </cols>
  <sheetData>
    <row r="1">
      <c r="A1" s="1" t="s">
        <v>44</v>
      </c>
      <c r="B1" s="9" t="str">
        <f>Overview!B1</f>
        <v>December</v>
      </c>
      <c r="C1" s="1"/>
      <c r="D1" s="1"/>
      <c r="E1" s="1"/>
      <c r="F1" s="1"/>
      <c r="G1" s="1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 t="s">
        <v>45</v>
      </c>
      <c r="B2" s="9">
        <f>Overview!B2</f>
        <v>2025</v>
      </c>
      <c r="C2" s="1"/>
      <c r="D2" s="1"/>
      <c r="E2" s="1"/>
      <c r="F2" s="1"/>
      <c r="G2" s="1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" t="s">
        <v>46</v>
      </c>
      <c r="B3" s="9">
        <v>1.0</v>
      </c>
      <c r="C3" s="1"/>
      <c r="D3" s="1"/>
      <c r="E3" s="1"/>
      <c r="F3" s="1"/>
      <c r="G3" s="1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" t="s">
        <v>47</v>
      </c>
      <c r="B4" s="10">
        <f t="array" ref="B4">DATE($B$2, MATCH($B$1, {"January","February","March","April","May","June","July","August","September","October","November","December"}, 0), $B$3)
</f>
        <v>45992</v>
      </c>
      <c r="C4" s="1"/>
      <c r="D4" s="1"/>
      <c r="E4" s="1"/>
      <c r="F4" s="1"/>
      <c r="G4" s="1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/>
      <c r="B5" s="1"/>
      <c r="C5" s="1"/>
      <c r="D5" s="1"/>
      <c r="E5" s="1"/>
      <c r="F5" s="1"/>
      <c r="G5" s="1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"/>
      <c r="B6" s="1"/>
      <c r="C6" s="1"/>
      <c r="D6" s="1"/>
      <c r="E6" s="1"/>
      <c r="F6" s="1"/>
      <c r="G6" s="1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"/>
      <c r="B7" s="1"/>
      <c r="C7" s="1"/>
      <c r="D7" s="1"/>
      <c r="E7" s="1"/>
      <c r="F7" s="1"/>
      <c r="G7" s="1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" t="s">
        <v>48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53</v>
      </c>
      <c r="G8" s="1" t="s">
        <v>54</v>
      </c>
      <c r="H8" s="1" t="s">
        <v>55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" t="s">
        <v>15</v>
      </c>
      <c r="B9" s="4">
        <f>VLOOKUP(A9,Overview!$A$6:$H$38,8,false)</f>
        <v>0</v>
      </c>
      <c r="C9" s="4">
        <f>VLOOKUP(A9,'Input Guide'!$A$1:$C$41,3,false)</f>
        <v>5.171</v>
      </c>
      <c r="D9" s="4">
        <f>VLOOKUP(A9,'Input Guide'!$A$1:$F$35,6,false)</f>
        <v>8</v>
      </c>
      <c r="E9" s="4">
        <f>'FD Planner'!$B$16/(C9*28.35)</f>
        <v>16.37131786</v>
      </c>
      <c r="F9" s="4">
        <f t="shared" ref="F9:F23" si="1">CEILING(B9/E9,1)</f>
        <v>0</v>
      </c>
      <c r="G9" s="11">
        <f t="shared" ref="G9:G23" si="2">IF(A9="","", $B$4 - D9)</f>
        <v>45984</v>
      </c>
      <c r="H9" s="4">
        <f>F9</f>
        <v>0</v>
      </c>
    </row>
    <row r="10">
      <c r="A10" s="2" t="s">
        <v>17</v>
      </c>
      <c r="B10" s="4">
        <f>VLOOKUP(A10,Overview!$A$6:$H$38,8,false)</f>
        <v>0</v>
      </c>
      <c r="C10" s="4">
        <f>VLOOKUP(A10,'Input Guide'!$A$1:$C$41,3,false)</f>
        <v>9.408</v>
      </c>
      <c r="D10" s="4">
        <f>VLOOKUP(A10,'Input Guide'!$A$1:$F$35,6,false)</f>
        <v>8</v>
      </c>
      <c r="E10" s="4">
        <f>'FD Planner'!$B$16/(C10*28.35)</f>
        <v>8.998308318</v>
      </c>
      <c r="F10" s="4">
        <f t="shared" si="1"/>
        <v>0</v>
      </c>
      <c r="G10" s="11">
        <f t="shared" si="2"/>
        <v>45984</v>
      </c>
      <c r="H10" s="4">
        <f t="shared" ref="H10:H23" si="3">H9+F10</f>
        <v>0</v>
      </c>
    </row>
    <row r="11">
      <c r="A11" s="2" t="s">
        <v>21</v>
      </c>
      <c r="B11" s="4">
        <f>VLOOKUP(A11,Overview!$A$6:$H$38,8,false)</f>
        <v>0</v>
      </c>
      <c r="C11" s="4">
        <f>VLOOKUP(A11,'Input Guide'!$A$1:$C$41,3,false)</f>
        <v>3.956</v>
      </c>
      <c r="D11" s="4">
        <f>VLOOKUP(A11,'Input Guide'!$A$1:$F$35,6,false)</f>
        <v>18</v>
      </c>
      <c r="E11" s="4">
        <f>'FD Planner'!$B$16/(C11*28.35)</f>
        <v>21.39941473</v>
      </c>
      <c r="F11" s="4">
        <f t="shared" si="1"/>
        <v>0</v>
      </c>
      <c r="G11" s="11">
        <f t="shared" si="2"/>
        <v>45974</v>
      </c>
      <c r="H11" s="4">
        <f t="shared" si="3"/>
        <v>0</v>
      </c>
    </row>
    <row r="12">
      <c r="A12" s="2" t="s">
        <v>23</v>
      </c>
      <c r="B12" s="4">
        <f>VLOOKUP(A12,Overview!$A$6:$H$38,8,false)</f>
        <v>0</v>
      </c>
      <c r="C12" s="4">
        <f>VLOOKUP(A12,'Input Guide'!$A$1:$C$41,3,false)</f>
        <v>2.539</v>
      </c>
      <c r="D12" s="4">
        <f>VLOOKUP(A12,'Input Guide'!$A$1:$F$35,6,false)</f>
        <v>11</v>
      </c>
      <c r="E12" s="4">
        <f>'FD Planner'!$B$16/(C12*28.35)</f>
        <v>33.34229407</v>
      </c>
      <c r="F12" s="4">
        <f t="shared" si="1"/>
        <v>0</v>
      </c>
      <c r="G12" s="11">
        <f t="shared" si="2"/>
        <v>45981</v>
      </c>
      <c r="H12" s="4">
        <f t="shared" si="3"/>
        <v>0</v>
      </c>
    </row>
    <row r="13">
      <c r="A13" s="2" t="s">
        <v>27</v>
      </c>
      <c r="B13" s="4">
        <f>VLOOKUP(A13,Overview!$A$6:$H$38,8,false)</f>
        <v>192</v>
      </c>
      <c r="C13" s="4">
        <f>VLOOKUP(A13,'Input Guide'!$A$1:$C$41,3,false)</f>
        <v>9.159</v>
      </c>
      <c r="D13" s="4">
        <f>VLOOKUP(A13,'Input Guide'!$A$1:$F$35,6,false)</f>
        <v>8</v>
      </c>
      <c r="E13" s="4">
        <f>'FD Planner'!$B$16/(C13*28.35)</f>
        <v>9.242939694</v>
      </c>
      <c r="F13" s="4">
        <f t="shared" si="1"/>
        <v>21</v>
      </c>
      <c r="G13" s="11">
        <f t="shared" si="2"/>
        <v>45984</v>
      </c>
      <c r="H13" s="4">
        <f t="shared" si="3"/>
        <v>21</v>
      </c>
    </row>
    <row r="14">
      <c r="A14" s="2" t="s">
        <v>28</v>
      </c>
      <c r="B14" s="4">
        <f>VLOOKUP(A14,Overview!$A$6:$H$38,8,false)</f>
        <v>0</v>
      </c>
      <c r="C14" s="4">
        <f>VLOOKUP(A14,'Input Guide'!$A$1:$C$41,3,false)</f>
        <v>8.284</v>
      </c>
      <c r="D14" s="4">
        <f>VLOOKUP(A14,'Input Guide'!$A$1:$F$35,6,false)</f>
        <v>8</v>
      </c>
      <c r="E14" s="4">
        <f>'FD Planner'!$B$16/(C14*28.35)</f>
        <v>10.21922799</v>
      </c>
      <c r="F14" s="4">
        <f t="shared" si="1"/>
        <v>0</v>
      </c>
      <c r="G14" s="11">
        <f t="shared" si="2"/>
        <v>45984</v>
      </c>
      <c r="H14" s="4">
        <f t="shared" si="3"/>
        <v>21</v>
      </c>
    </row>
    <row r="15">
      <c r="A15" s="2" t="s">
        <v>29</v>
      </c>
      <c r="B15" s="4">
        <f>VLOOKUP(A15,Overview!$A$6:$H$38,8,false)</f>
        <v>0</v>
      </c>
      <c r="C15" s="4">
        <f>VLOOKUP(A15,'Input Guide'!$A$1:$C$41,3,false)</f>
        <v>6.14</v>
      </c>
      <c r="D15" s="4">
        <f>VLOOKUP(A15,'Input Guide'!$A$1:$F$35,6,false)</f>
        <v>13</v>
      </c>
      <c r="E15" s="4">
        <f>'FD Planner'!$B$16/(C15*28.35)</f>
        <v>13.78763594</v>
      </c>
      <c r="F15" s="4">
        <f t="shared" si="1"/>
        <v>0</v>
      </c>
      <c r="G15" s="11">
        <f t="shared" si="2"/>
        <v>45979</v>
      </c>
      <c r="H15" s="4">
        <f t="shared" si="3"/>
        <v>21</v>
      </c>
    </row>
    <row r="16">
      <c r="A16" s="2" t="s">
        <v>32</v>
      </c>
      <c r="B16" s="4">
        <f>VLOOKUP(A16,Overview!$A$6:$H$38,8,false)</f>
        <v>0</v>
      </c>
      <c r="C16" s="4">
        <f>VLOOKUP(A16,'Input Guide'!$A$1:$C$41,3,false)</f>
        <v>13</v>
      </c>
      <c r="D16" s="4">
        <f>VLOOKUP(A16,'Input Guide'!$A$1:$F$35,6,false)</f>
        <v>8</v>
      </c>
      <c r="E16" s="4">
        <f>'FD Planner'!$B$16/(C16*28.35)</f>
        <v>6.512006512</v>
      </c>
      <c r="F16" s="4">
        <f t="shared" si="1"/>
        <v>0</v>
      </c>
      <c r="G16" s="11">
        <f t="shared" si="2"/>
        <v>45984</v>
      </c>
      <c r="H16" s="4">
        <f t="shared" si="3"/>
        <v>21</v>
      </c>
    </row>
    <row r="17">
      <c r="A17" s="2" t="s">
        <v>35</v>
      </c>
      <c r="B17" s="4">
        <f>VLOOKUP(A17,Overview!$A$6:$H$38,8,false)</f>
        <v>0</v>
      </c>
      <c r="C17" s="4">
        <f>VLOOKUP(A17,'Input Guide'!$A$1:$C$41,3,false)</f>
        <v>2.996</v>
      </c>
      <c r="D17" s="4">
        <f>VLOOKUP(A17,'Input Guide'!$A$1:$F$35,6,false)</f>
        <v>8</v>
      </c>
      <c r="E17" s="4">
        <f>'FD Planner'!$B$16/(C17*28.35)</f>
        <v>28.25637005</v>
      </c>
      <c r="F17" s="4">
        <f t="shared" si="1"/>
        <v>0</v>
      </c>
      <c r="G17" s="11">
        <f t="shared" si="2"/>
        <v>45984</v>
      </c>
      <c r="H17" s="4">
        <f t="shared" si="3"/>
        <v>21</v>
      </c>
    </row>
    <row r="18">
      <c r="A18" s="2" t="s">
        <v>36</v>
      </c>
      <c r="B18" s="4">
        <f>VLOOKUP(A18,Overview!$A$6:$H$38,8,false)</f>
        <v>0</v>
      </c>
      <c r="C18" s="4">
        <f>VLOOKUP(A18,'Input Guide'!$A$1:$C$41,3,false)</f>
        <v>10.543</v>
      </c>
      <c r="D18" s="4">
        <f>VLOOKUP(A18,'Input Guide'!$A$1:$F$35,6,false)</f>
        <v>11</v>
      </c>
      <c r="E18" s="4">
        <f>'FD Planner'!$B$16/(C18*28.35)</f>
        <v>8.029601125</v>
      </c>
      <c r="F18" s="4">
        <f t="shared" si="1"/>
        <v>0</v>
      </c>
      <c r="G18" s="11">
        <f t="shared" si="2"/>
        <v>45981</v>
      </c>
      <c r="H18" s="4">
        <f t="shared" si="3"/>
        <v>21</v>
      </c>
    </row>
    <row r="19">
      <c r="A19" s="2" t="s">
        <v>37</v>
      </c>
      <c r="B19" s="4">
        <f>VLOOKUP(A19,Overview!$A$6:$H$38,8,false)</f>
        <v>0</v>
      </c>
      <c r="C19" s="4">
        <f>VLOOKUP(A19,'Input Guide'!$A$1:$C$41,3,false)</f>
        <v>6.22</v>
      </c>
      <c r="D19" s="4">
        <f>VLOOKUP(A19,'Input Guide'!$A$1:$F$35,6,false)</f>
        <v>11</v>
      </c>
      <c r="E19" s="4">
        <f>'FD Planner'!$B$16/(C19*28.35)</f>
        <v>13.610303</v>
      </c>
      <c r="F19" s="4">
        <f t="shared" si="1"/>
        <v>0</v>
      </c>
      <c r="G19" s="11">
        <f t="shared" si="2"/>
        <v>45981</v>
      </c>
      <c r="H19" s="4">
        <f t="shared" si="3"/>
        <v>21</v>
      </c>
    </row>
    <row r="20">
      <c r="A20" s="2" t="s">
        <v>39</v>
      </c>
      <c r="B20" s="4">
        <f>VLOOKUP(A20,Overview!$A$6:$H$38,8,false)</f>
        <v>0</v>
      </c>
      <c r="C20" s="4">
        <f>VLOOKUP(A20,'Input Guide'!$A$1:$C$41,3,false)</f>
        <v>13.686</v>
      </c>
      <c r="D20" s="4">
        <f>VLOOKUP(A20,'Input Guide'!$A$1:$F$35,6,false)</f>
        <v>8</v>
      </c>
      <c r="E20" s="4">
        <f>'FD Planner'!$B$16/(C20*28.35)</f>
        <v>6.185597301</v>
      </c>
      <c r="F20" s="4">
        <f t="shared" si="1"/>
        <v>0</v>
      </c>
      <c r="G20" s="11">
        <f t="shared" si="2"/>
        <v>45984</v>
      </c>
      <c r="H20" s="4">
        <f t="shared" si="3"/>
        <v>21</v>
      </c>
    </row>
    <row r="21">
      <c r="A21" s="2" t="s">
        <v>41</v>
      </c>
      <c r="B21" s="4">
        <f>VLOOKUP(A21,Overview!$A$6:$H$38,8,false)</f>
        <v>0</v>
      </c>
      <c r="C21" s="4">
        <f>VLOOKUP(A21,'Input Guide'!$A$1:$C$41,3,false)</f>
        <v>14.805</v>
      </c>
      <c r="D21" s="4">
        <f>VLOOKUP(A21,'Input Guide'!$A$1:$F$35,6,false)</f>
        <v>10</v>
      </c>
      <c r="E21" s="4">
        <f>'FD Planner'!$B$16/(C21*28.35)</f>
        <v>5.718073938</v>
      </c>
      <c r="F21" s="4">
        <f t="shared" si="1"/>
        <v>0</v>
      </c>
      <c r="G21" s="11">
        <f t="shared" si="2"/>
        <v>45982</v>
      </c>
      <c r="H21" s="4">
        <f t="shared" si="3"/>
        <v>21</v>
      </c>
    </row>
    <row r="22">
      <c r="A22" s="2" t="s">
        <v>42</v>
      </c>
      <c r="B22" s="4">
        <f>VLOOKUP(A22,Overview!$A$6:$H$38,8,false)</f>
        <v>0</v>
      </c>
      <c r="C22" s="4">
        <f>VLOOKUP(A22,'Input Guide'!$A$1:$C$41,3,false)</f>
        <v>6</v>
      </c>
      <c r="D22" s="4">
        <f>VLOOKUP(A22,'Input Guide'!$A$1:$F$35,6,false)</f>
        <v>8</v>
      </c>
      <c r="E22" s="4">
        <f>'FD Planner'!$B$16/(C22*28.35)</f>
        <v>14.10934744</v>
      </c>
      <c r="F22" s="4">
        <f t="shared" si="1"/>
        <v>0</v>
      </c>
      <c r="G22" s="11">
        <f t="shared" si="2"/>
        <v>45984</v>
      </c>
      <c r="H22" s="4">
        <f t="shared" si="3"/>
        <v>21</v>
      </c>
    </row>
    <row r="23">
      <c r="A23" s="2" t="s">
        <v>43</v>
      </c>
      <c r="B23" s="4">
        <f>VLOOKUP(A23,Overview!$A$6:$H$38,8,false)</f>
        <v>0</v>
      </c>
      <c r="C23" s="4">
        <f>VLOOKUP(A23,'Input Guide'!$A$1:$C$41,3,false)</f>
        <v>5</v>
      </c>
      <c r="D23" s="4">
        <f>VLOOKUP(A23,'Input Guide'!$A$1:$F$35,6,false)</f>
        <v>8</v>
      </c>
      <c r="E23" s="4">
        <f>'FD Planner'!$B$16/(C23*28.35)</f>
        <v>16.93121693</v>
      </c>
      <c r="F23" s="4">
        <f t="shared" si="1"/>
        <v>0</v>
      </c>
      <c r="G23" s="11">
        <f t="shared" si="2"/>
        <v>45984</v>
      </c>
      <c r="H23" s="4">
        <f t="shared" si="3"/>
        <v>21</v>
      </c>
    </row>
    <row r="25">
      <c r="A25" s="1" t="s">
        <v>48</v>
      </c>
      <c r="B25" s="1" t="s">
        <v>56</v>
      </c>
      <c r="C25" s="1" t="s">
        <v>57</v>
      </c>
      <c r="D25" s="1" t="s">
        <v>58</v>
      </c>
      <c r="E25" s="1" t="s">
        <v>59</v>
      </c>
    </row>
    <row r="26">
      <c r="A26" s="2" t="str">
        <f>IFERROR(__xludf.DUMMYFUNCTION("IF(
  ROW()-ROW($A$26)+1 &gt; SUM($F$9:$F$23),
  """",
  INDEX(
    FILTER($A$9:$A$23, $F$9:$F$23&gt;0),
    MATCH(
      ROW()-ROW($A$26)+1,
      FILTER($H$9:$H$23 - $F$9:$F$23 + 1, $F$9:$F$23&gt;0),
      1
    )
  )
)
"),"Broccoli")</f>
        <v>Broccoli</v>
      </c>
      <c r="B26" s="2">
        <f t="shared" ref="B26:B61" si="4">IF($A26="","", ROW()-ROW($A$26)+1)</f>
        <v>1</v>
      </c>
      <c r="C26" s="4">
        <f t="shared" ref="C26:C69" si="5">IF($A26="","",
  INT(
    VLOOKUP($A26, $A$9:$F$23, 2, FALSE) /
    VLOOKUP($A26, $A$9:$F$23, 6, FALSE)
  )
  +
  IF(
    $B26 &lt;= MOD(
      VLOOKUP($A26, $A$9:$F$23, 2, FALSE),
      VLOOKUP($A26, $A$9:$F$23, 6, FALSE)
    ),
    1,
    0
  )
)</f>
        <v>10</v>
      </c>
      <c r="D26" s="12">
        <f t="shared" ref="D26:D70" si="6">IF($A26="","",
  $E26 - VLOOKUP($A26, $A$9:$D$23, 4, FALSE)
)</f>
        <v>45984</v>
      </c>
      <c r="E26" s="12">
        <f t="shared" ref="E26:E81" si="7">IF($A26="","",
  $B$4 +
  ROUND(
    ( $B26 - 1 ) *
    ( DAY(EOMONTH($B$4,0)) / SUM($F$9:$F$23) )
  ,0)
)</f>
        <v>45992</v>
      </c>
    </row>
    <row r="27">
      <c r="A27" s="2" t="str">
        <f>IFERROR(__xludf.DUMMYFUNCTION("IF(
  ROW()-ROW($A$26)+1 &gt; SUM($F$9:$F$23),
  """",
  INDEX(
    FILTER($A$9:$A$23, $F$9:$F$23&gt;0),
    MATCH(
      ROW()-ROW($A$26)+1,
      FILTER($H$9:$H$23 - $F$9:$F$23 + 1, $F$9:$F$23&gt;0),
      1
    )
  )
)
"),"Broccoli")</f>
        <v>Broccoli</v>
      </c>
      <c r="B27" s="2">
        <f t="shared" si="4"/>
        <v>2</v>
      </c>
      <c r="C27" s="4">
        <f t="shared" si="5"/>
        <v>10</v>
      </c>
      <c r="D27" s="12">
        <f t="shared" si="6"/>
        <v>45985</v>
      </c>
      <c r="E27" s="12">
        <f t="shared" si="7"/>
        <v>45993</v>
      </c>
    </row>
    <row r="28">
      <c r="A28" s="2" t="str">
        <f>IFERROR(__xludf.DUMMYFUNCTION("IF(
  ROW()-ROW($A$26)+1 &gt; SUM($F$9:$F$23),
  """",
  INDEX(
    FILTER($A$9:$A$23, $F$9:$F$23&gt;0),
    MATCH(
      ROW()-ROW($A$26)+1,
      FILTER($H$9:$H$23 - $F$9:$F$23 + 1, $F$9:$F$23&gt;0),
      1
    )
  )
)
"),"Broccoli")</f>
        <v>Broccoli</v>
      </c>
      <c r="B28" s="2">
        <f t="shared" si="4"/>
        <v>3</v>
      </c>
      <c r="C28" s="4">
        <f t="shared" si="5"/>
        <v>10</v>
      </c>
      <c r="D28" s="12">
        <f t="shared" si="6"/>
        <v>45987</v>
      </c>
      <c r="E28" s="12">
        <f t="shared" si="7"/>
        <v>45995</v>
      </c>
    </row>
    <row r="29">
      <c r="A29" s="2" t="str">
        <f>IFERROR(__xludf.DUMMYFUNCTION("IF(
  ROW()-ROW($A$26)+1 &gt; SUM($F$9:$F$23),
  """",
  INDEX(
    FILTER($A$9:$A$23, $F$9:$F$23&gt;0),
    MATCH(
      ROW()-ROW($A$26)+1,
      FILTER($H$9:$H$23 - $F$9:$F$23 + 1, $F$9:$F$23&gt;0),
      1
    )
  )
)
"),"Broccoli")</f>
        <v>Broccoli</v>
      </c>
      <c r="B29" s="2">
        <f t="shared" si="4"/>
        <v>4</v>
      </c>
      <c r="C29" s="4">
        <f t="shared" si="5"/>
        <v>9</v>
      </c>
      <c r="D29" s="12">
        <f t="shared" si="6"/>
        <v>45988</v>
      </c>
      <c r="E29" s="12">
        <f t="shared" si="7"/>
        <v>45996</v>
      </c>
    </row>
    <row r="30">
      <c r="A30" s="2" t="str">
        <f>IFERROR(__xludf.DUMMYFUNCTION("IF(
  ROW()-ROW($A$26)+1 &gt; SUM($F$9:$F$23),
  """",
  INDEX(
    FILTER($A$9:$A$23, $F$9:$F$23&gt;0),
    MATCH(
      ROW()-ROW($A$26)+1,
      FILTER($H$9:$H$23 - $F$9:$F$23 + 1, $F$9:$F$23&gt;0),
      1
    )
  )
)
"),"Broccoli")</f>
        <v>Broccoli</v>
      </c>
      <c r="B30" s="2">
        <f t="shared" si="4"/>
        <v>5</v>
      </c>
      <c r="C30" s="4">
        <f t="shared" si="5"/>
        <v>9</v>
      </c>
      <c r="D30" s="12">
        <f t="shared" si="6"/>
        <v>45990</v>
      </c>
      <c r="E30" s="12">
        <f t="shared" si="7"/>
        <v>45998</v>
      </c>
    </row>
    <row r="31">
      <c r="A31" s="2" t="str">
        <f>IFERROR(__xludf.DUMMYFUNCTION("IF(
  ROW()-ROW($A$26)+1 &gt; SUM($F$9:$F$23),
  """",
  INDEX(
    FILTER($A$9:$A$23, $F$9:$F$23&gt;0),
    MATCH(
      ROW()-ROW($A$26)+1,
      FILTER($H$9:$H$23 - $F$9:$F$23 + 1, $F$9:$F$23&gt;0),
      1
    )
  )
)
"),"Broccoli")</f>
        <v>Broccoli</v>
      </c>
      <c r="B31" s="2">
        <f t="shared" si="4"/>
        <v>6</v>
      </c>
      <c r="C31" s="4">
        <f t="shared" si="5"/>
        <v>9</v>
      </c>
      <c r="D31" s="12">
        <f t="shared" si="6"/>
        <v>45991</v>
      </c>
      <c r="E31" s="12">
        <f t="shared" si="7"/>
        <v>45999</v>
      </c>
    </row>
    <row r="32">
      <c r="A32" s="2" t="str">
        <f>IFERROR(__xludf.DUMMYFUNCTION("IF(
  ROW()-ROW($A$26)+1 &gt; SUM($F$9:$F$23),
  """",
  INDEX(
    FILTER($A$9:$A$23, $F$9:$F$23&gt;0),
    MATCH(
      ROW()-ROW($A$26)+1,
      FILTER($H$9:$H$23 - $F$9:$F$23 + 1, $F$9:$F$23&gt;0),
      1
    )
  )
)
"),"Broccoli")</f>
        <v>Broccoli</v>
      </c>
      <c r="B32" s="2">
        <f t="shared" si="4"/>
        <v>7</v>
      </c>
      <c r="C32" s="4">
        <f t="shared" si="5"/>
        <v>9</v>
      </c>
      <c r="D32" s="12">
        <f t="shared" si="6"/>
        <v>45993</v>
      </c>
      <c r="E32" s="12">
        <f t="shared" si="7"/>
        <v>46001</v>
      </c>
    </row>
    <row r="33">
      <c r="A33" s="2" t="str">
        <f>IFERROR(__xludf.DUMMYFUNCTION("IF(
  ROW()-ROW($A$26)+1 &gt; SUM($F$9:$F$23),
  """",
  INDEX(
    FILTER($A$9:$A$23, $F$9:$F$23&gt;0),
    MATCH(
      ROW()-ROW($A$26)+1,
      FILTER($H$9:$H$23 - $F$9:$F$23 + 1, $F$9:$F$23&gt;0),
      1
    )
  )
)
"),"Broccoli")</f>
        <v>Broccoli</v>
      </c>
      <c r="B33" s="2">
        <f t="shared" si="4"/>
        <v>8</v>
      </c>
      <c r="C33" s="4">
        <f t="shared" si="5"/>
        <v>9</v>
      </c>
      <c r="D33" s="12">
        <f t="shared" si="6"/>
        <v>45994</v>
      </c>
      <c r="E33" s="12">
        <f t="shared" si="7"/>
        <v>46002</v>
      </c>
    </row>
    <row r="34">
      <c r="A34" s="2" t="str">
        <f>IFERROR(__xludf.DUMMYFUNCTION("IF(
  ROW()-ROW($A$26)+1 &gt; SUM($F$9:$F$23),
  """",
  INDEX(
    FILTER($A$9:$A$23, $F$9:$F$23&gt;0),
    MATCH(
      ROW()-ROW($A$26)+1,
      FILTER($H$9:$H$23 - $F$9:$F$23 + 1, $F$9:$F$23&gt;0),
      1
    )
  )
)
"),"Broccoli")</f>
        <v>Broccoli</v>
      </c>
      <c r="B34" s="2">
        <f t="shared" si="4"/>
        <v>9</v>
      </c>
      <c r="C34" s="4">
        <f t="shared" si="5"/>
        <v>9</v>
      </c>
      <c r="D34" s="12">
        <f t="shared" si="6"/>
        <v>45996</v>
      </c>
      <c r="E34" s="12">
        <f t="shared" si="7"/>
        <v>46004</v>
      </c>
    </row>
    <row r="35">
      <c r="A35" s="2" t="str">
        <f>IFERROR(__xludf.DUMMYFUNCTION("IF(
  ROW()-ROW($A$26)+1 &gt; SUM($F$9:$F$23),
  """",
  INDEX(
    FILTER($A$9:$A$23, $F$9:$F$23&gt;0),
    MATCH(
      ROW()-ROW($A$26)+1,
      FILTER($H$9:$H$23 - $F$9:$F$23 + 1, $F$9:$F$23&gt;0),
      1
    )
  )
)
"),"Broccoli")</f>
        <v>Broccoli</v>
      </c>
      <c r="B35" s="2">
        <f t="shared" si="4"/>
        <v>10</v>
      </c>
      <c r="C35" s="4">
        <f t="shared" si="5"/>
        <v>9</v>
      </c>
      <c r="D35" s="12">
        <f t="shared" si="6"/>
        <v>45997</v>
      </c>
      <c r="E35" s="12">
        <f t="shared" si="7"/>
        <v>46005</v>
      </c>
    </row>
    <row r="36">
      <c r="A36" s="2" t="str">
        <f>IFERROR(__xludf.DUMMYFUNCTION("IF(
  ROW()-ROW($A$26)+1 &gt; SUM($F$9:$F$23),
  """",
  INDEX(
    FILTER($A$9:$A$23, $F$9:$F$23&gt;0),
    MATCH(
      ROW()-ROW($A$26)+1,
      FILTER($H$9:$H$23 - $F$9:$F$23 + 1, $F$9:$F$23&gt;0),
      1
    )
  )
)
"),"Broccoli")</f>
        <v>Broccoli</v>
      </c>
      <c r="B36" s="2">
        <f t="shared" si="4"/>
        <v>11</v>
      </c>
      <c r="C36" s="4">
        <f t="shared" si="5"/>
        <v>9</v>
      </c>
      <c r="D36" s="12">
        <f t="shared" si="6"/>
        <v>45999</v>
      </c>
      <c r="E36" s="12">
        <f t="shared" si="7"/>
        <v>46007</v>
      </c>
    </row>
    <row r="37">
      <c r="A37" s="2" t="str">
        <f>IFERROR(__xludf.DUMMYFUNCTION("IF(
  ROW()-ROW($A$26)+1 &gt; SUM($F$9:$F$23),
  """",
  INDEX(
    FILTER($A$9:$A$23, $F$9:$F$23&gt;0),
    MATCH(
      ROW()-ROW($A$26)+1,
      FILTER($H$9:$H$23 - $F$9:$F$23 + 1, $F$9:$F$23&gt;0),
      1
    )
  )
)
"),"Broccoli")</f>
        <v>Broccoli</v>
      </c>
      <c r="B37" s="2">
        <f t="shared" si="4"/>
        <v>12</v>
      </c>
      <c r="C37" s="4">
        <f t="shared" si="5"/>
        <v>9</v>
      </c>
      <c r="D37" s="12">
        <f t="shared" si="6"/>
        <v>46000</v>
      </c>
      <c r="E37" s="12">
        <f t="shared" si="7"/>
        <v>46008</v>
      </c>
    </row>
    <row r="38">
      <c r="A38" s="2" t="str">
        <f>IFERROR(__xludf.DUMMYFUNCTION("IF(
  ROW()-ROW($A$26)+1 &gt; SUM($F$9:$F$23),
  """",
  INDEX(
    FILTER($A$9:$A$23, $F$9:$F$23&gt;0),
    MATCH(
      ROW()-ROW($A$26)+1,
      FILTER($H$9:$H$23 - $F$9:$F$23 + 1, $F$9:$F$23&gt;0),
      1
    )
  )
)
"),"Broccoli")</f>
        <v>Broccoli</v>
      </c>
      <c r="B38" s="2">
        <f t="shared" si="4"/>
        <v>13</v>
      </c>
      <c r="C38" s="4">
        <f t="shared" si="5"/>
        <v>9</v>
      </c>
      <c r="D38" s="12">
        <f t="shared" si="6"/>
        <v>46002</v>
      </c>
      <c r="E38" s="12">
        <f t="shared" si="7"/>
        <v>46010</v>
      </c>
    </row>
    <row r="39">
      <c r="A39" s="2" t="str">
        <f>IFERROR(__xludf.DUMMYFUNCTION("IF(
  ROW()-ROW($A$26)+1 &gt; SUM($F$9:$F$23),
  """",
  INDEX(
    FILTER($A$9:$A$23, $F$9:$F$23&gt;0),
    MATCH(
      ROW()-ROW($A$26)+1,
      FILTER($H$9:$H$23 - $F$9:$F$23 + 1, $F$9:$F$23&gt;0),
      1
    )
  )
)
"),"Broccoli")</f>
        <v>Broccoli</v>
      </c>
      <c r="B39" s="2">
        <f t="shared" si="4"/>
        <v>14</v>
      </c>
      <c r="C39" s="4">
        <f t="shared" si="5"/>
        <v>9</v>
      </c>
      <c r="D39" s="12">
        <f t="shared" si="6"/>
        <v>46003</v>
      </c>
      <c r="E39" s="12">
        <f t="shared" si="7"/>
        <v>46011</v>
      </c>
    </row>
    <row r="40">
      <c r="A40" s="2" t="str">
        <f>IFERROR(__xludf.DUMMYFUNCTION("IF(
  ROW()-ROW($A$26)+1 &gt; SUM($F$9:$F$23),
  """",
  INDEX(
    FILTER($A$9:$A$23, $F$9:$F$23&gt;0),
    MATCH(
      ROW()-ROW($A$26)+1,
      FILTER($H$9:$H$23 - $F$9:$F$23 + 1, $F$9:$F$23&gt;0),
      1
    )
  )
)
"),"Broccoli")</f>
        <v>Broccoli</v>
      </c>
      <c r="B40" s="2">
        <f t="shared" si="4"/>
        <v>15</v>
      </c>
      <c r="C40" s="4">
        <f t="shared" si="5"/>
        <v>9</v>
      </c>
      <c r="D40" s="12">
        <f t="shared" si="6"/>
        <v>46005</v>
      </c>
      <c r="E40" s="12">
        <f t="shared" si="7"/>
        <v>46013</v>
      </c>
    </row>
    <row r="41">
      <c r="A41" s="2" t="str">
        <f>IFERROR(__xludf.DUMMYFUNCTION("IF(
  ROW()-ROW($A$26)+1 &gt; SUM($F$9:$F$23),
  """",
  INDEX(
    FILTER($A$9:$A$23, $F$9:$F$23&gt;0),
    MATCH(
      ROW()-ROW($A$26)+1,
      FILTER($H$9:$H$23 - $F$9:$F$23 + 1, $F$9:$F$23&gt;0),
      1
    )
  )
)
"),"Broccoli")</f>
        <v>Broccoli</v>
      </c>
      <c r="B41" s="2">
        <f t="shared" si="4"/>
        <v>16</v>
      </c>
      <c r="C41" s="4">
        <f t="shared" si="5"/>
        <v>9</v>
      </c>
      <c r="D41" s="12">
        <f t="shared" si="6"/>
        <v>46006</v>
      </c>
      <c r="E41" s="12">
        <f t="shared" si="7"/>
        <v>46014</v>
      </c>
    </row>
    <row r="42">
      <c r="A42" s="2" t="str">
        <f>IFERROR(__xludf.DUMMYFUNCTION("IF(
  ROW()-ROW($A$26)+1 &gt; SUM($F$9:$F$23),
  """",
  INDEX(
    FILTER($A$9:$A$23, $F$9:$F$23&gt;0),
    MATCH(
      ROW()-ROW($A$26)+1,
      FILTER($H$9:$H$23 - $F$9:$F$23 + 1, $F$9:$F$23&gt;0),
      1
    )
  )
)
"),"Broccoli")</f>
        <v>Broccoli</v>
      </c>
      <c r="B42" s="2">
        <f t="shared" si="4"/>
        <v>17</v>
      </c>
      <c r="C42" s="4">
        <f t="shared" si="5"/>
        <v>9</v>
      </c>
      <c r="D42" s="12">
        <f t="shared" si="6"/>
        <v>46008</v>
      </c>
      <c r="E42" s="12">
        <f t="shared" si="7"/>
        <v>46016</v>
      </c>
    </row>
    <row r="43">
      <c r="A43" s="2" t="str">
        <f>IFERROR(__xludf.DUMMYFUNCTION("IF(
  ROW()-ROW($A$26)+1 &gt; SUM($F$9:$F$23),
  """",
  INDEX(
    FILTER($A$9:$A$23, $F$9:$F$23&gt;0),
    MATCH(
      ROW()-ROW($A$26)+1,
      FILTER($H$9:$H$23 - $F$9:$F$23 + 1, $F$9:$F$23&gt;0),
      1
    )
  )
)
"),"Broccoli")</f>
        <v>Broccoli</v>
      </c>
      <c r="B43" s="2">
        <f t="shared" si="4"/>
        <v>18</v>
      </c>
      <c r="C43" s="4">
        <f t="shared" si="5"/>
        <v>9</v>
      </c>
      <c r="D43" s="12">
        <f t="shared" si="6"/>
        <v>46009</v>
      </c>
      <c r="E43" s="12">
        <f t="shared" si="7"/>
        <v>46017</v>
      </c>
    </row>
    <row r="44">
      <c r="A44" s="2" t="str">
        <f>IFERROR(__xludf.DUMMYFUNCTION("IF(
  ROW()-ROW($A$26)+1 &gt; SUM($F$9:$F$23),
  """",
  INDEX(
    FILTER($A$9:$A$23, $F$9:$F$23&gt;0),
    MATCH(
      ROW()-ROW($A$26)+1,
      FILTER($H$9:$H$23 - $F$9:$F$23 + 1, $F$9:$F$23&gt;0),
      1
    )
  )
)
"),"Broccoli")</f>
        <v>Broccoli</v>
      </c>
      <c r="B44" s="2">
        <f t="shared" si="4"/>
        <v>19</v>
      </c>
      <c r="C44" s="4">
        <f t="shared" si="5"/>
        <v>9</v>
      </c>
      <c r="D44" s="12">
        <f t="shared" si="6"/>
        <v>46011</v>
      </c>
      <c r="E44" s="12">
        <f t="shared" si="7"/>
        <v>46019</v>
      </c>
    </row>
    <row r="45">
      <c r="A45" s="2" t="str">
        <f>IFERROR(__xludf.DUMMYFUNCTION("IF(
  ROW()-ROW($A$26)+1 &gt; SUM($F$9:$F$23),
  """",
  INDEX(
    FILTER($A$9:$A$23, $F$9:$F$23&gt;0),
    MATCH(
      ROW()-ROW($A$26)+1,
      FILTER($H$9:$H$23 - $F$9:$F$23 + 1, $F$9:$F$23&gt;0),
      1
    )
  )
)
"),"Broccoli")</f>
        <v>Broccoli</v>
      </c>
      <c r="B45" s="2">
        <f t="shared" si="4"/>
        <v>20</v>
      </c>
      <c r="C45" s="4">
        <f t="shared" si="5"/>
        <v>9</v>
      </c>
      <c r="D45" s="12">
        <f t="shared" si="6"/>
        <v>46012</v>
      </c>
      <c r="E45" s="12">
        <f t="shared" si="7"/>
        <v>46020</v>
      </c>
    </row>
    <row r="46">
      <c r="A46" s="2" t="str">
        <f>IFERROR(__xludf.DUMMYFUNCTION("IF(
  ROW()-ROW($A$26)+1 &gt; SUM($F$9:$F$23),
  """",
  INDEX(
    FILTER($A$9:$A$23, $F$9:$F$23&gt;0),
    MATCH(
      ROW()-ROW($A$26)+1,
      FILTER($H$9:$H$23 - $F$9:$F$23 + 1, $F$9:$F$23&gt;0),
      1
    )
  )
)
"),"Broccoli")</f>
        <v>Broccoli</v>
      </c>
      <c r="B46" s="2">
        <f t="shared" si="4"/>
        <v>21</v>
      </c>
      <c r="C46" s="4">
        <f t="shared" si="5"/>
        <v>9</v>
      </c>
      <c r="D46" s="12">
        <f t="shared" si="6"/>
        <v>46014</v>
      </c>
      <c r="E46" s="12">
        <f t="shared" si="7"/>
        <v>46022</v>
      </c>
    </row>
    <row r="47">
      <c r="B47" s="2" t="str">
        <f t="shared" si="4"/>
        <v/>
      </c>
      <c r="C47" s="4" t="str">
        <f t="shared" si="5"/>
        <v/>
      </c>
      <c r="D47" s="2" t="str">
        <f t="shared" si="6"/>
        <v/>
      </c>
      <c r="E47" s="2" t="str">
        <f t="shared" si="7"/>
        <v/>
      </c>
    </row>
    <row r="48">
      <c r="B48" s="2" t="str">
        <f t="shared" si="4"/>
        <v/>
      </c>
      <c r="C48" s="4" t="str">
        <f t="shared" si="5"/>
        <v/>
      </c>
      <c r="D48" s="2" t="str">
        <f t="shared" si="6"/>
        <v/>
      </c>
      <c r="E48" s="2" t="str">
        <f t="shared" si="7"/>
        <v/>
      </c>
    </row>
    <row r="49">
      <c r="B49" s="2" t="str">
        <f t="shared" si="4"/>
        <v/>
      </c>
      <c r="C49" s="4" t="str">
        <f t="shared" si="5"/>
        <v/>
      </c>
      <c r="D49" s="2" t="str">
        <f t="shared" si="6"/>
        <v/>
      </c>
      <c r="E49" s="2" t="str">
        <f t="shared" si="7"/>
        <v/>
      </c>
    </row>
    <row r="50">
      <c r="B50" s="2" t="str">
        <f t="shared" si="4"/>
        <v/>
      </c>
      <c r="C50" s="4" t="str">
        <f t="shared" si="5"/>
        <v/>
      </c>
      <c r="D50" s="2" t="str">
        <f t="shared" si="6"/>
        <v/>
      </c>
      <c r="E50" s="2" t="str">
        <f t="shared" si="7"/>
        <v/>
      </c>
    </row>
    <row r="51">
      <c r="B51" s="2" t="str">
        <f t="shared" si="4"/>
        <v/>
      </c>
      <c r="C51" s="4" t="str">
        <f t="shared" si="5"/>
        <v/>
      </c>
      <c r="D51" s="2" t="str">
        <f t="shared" si="6"/>
        <v/>
      </c>
      <c r="E51" s="2" t="str">
        <f t="shared" si="7"/>
        <v/>
      </c>
    </row>
    <row r="52">
      <c r="B52" s="2" t="str">
        <f t="shared" si="4"/>
        <v/>
      </c>
      <c r="C52" s="4" t="str">
        <f t="shared" si="5"/>
        <v/>
      </c>
      <c r="D52" s="2" t="str">
        <f t="shared" si="6"/>
        <v/>
      </c>
      <c r="E52" s="2" t="str">
        <f t="shared" si="7"/>
        <v/>
      </c>
    </row>
    <row r="53">
      <c r="B53" s="2" t="str">
        <f t="shared" si="4"/>
        <v/>
      </c>
      <c r="C53" s="4" t="str">
        <f t="shared" si="5"/>
        <v/>
      </c>
      <c r="D53" s="2" t="str">
        <f t="shared" si="6"/>
        <v/>
      </c>
      <c r="E53" s="2" t="str">
        <f t="shared" si="7"/>
        <v/>
      </c>
    </row>
    <row r="54">
      <c r="B54" s="2" t="str">
        <f t="shared" si="4"/>
        <v/>
      </c>
      <c r="C54" s="4" t="str">
        <f t="shared" si="5"/>
        <v/>
      </c>
      <c r="D54" s="2" t="str">
        <f t="shared" si="6"/>
        <v/>
      </c>
      <c r="E54" s="2" t="str">
        <f t="shared" si="7"/>
        <v/>
      </c>
    </row>
    <row r="55">
      <c r="B55" s="2" t="str">
        <f t="shared" si="4"/>
        <v/>
      </c>
      <c r="C55" s="4" t="str">
        <f t="shared" si="5"/>
        <v/>
      </c>
      <c r="D55" s="2" t="str">
        <f t="shared" si="6"/>
        <v/>
      </c>
      <c r="E55" s="2" t="str">
        <f t="shared" si="7"/>
        <v/>
      </c>
    </row>
    <row r="56">
      <c r="B56" s="2" t="str">
        <f t="shared" si="4"/>
        <v/>
      </c>
      <c r="C56" s="4" t="str">
        <f t="shared" si="5"/>
        <v/>
      </c>
      <c r="D56" s="2" t="str">
        <f t="shared" si="6"/>
        <v/>
      </c>
      <c r="E56" s="2" t="str">
        <f t="shared" si="7"/>
        <v/>
      </c>
    </row>
    <row r="57">
      <c r="B57" s="2" t="str">
        <f t="shared" si="4"/>
        <v/>
      </c>
      <c r="C57" s="4" t="str">
        <f t="shared" si="5"/>
        <v/>
      </c>
      <c r="D57" s="2" t="str">
        <f t="shared" si="6"/>
        <v/>
      </c>
      <c r="E57" s="2" t="str">
        <f t="shared" si="7"/>
        <v/>
      </c>
    </row>
    <row r="58">
      <c r="B58" s="2" t="str">
        <f t="shared" si="4"/>
        <v/>
      </c>
      <c r="C58" s="4" t="str">
        <f t="shared" si="5"/>
        <v/>
      </c>
      <c r="D58" s="2" t="str">
        <f t="shared" si="6"/>
        <v/>
      </c>
      <c r="E58" s="2" t="str">
        <f t="shared" si="7"/>
        <v/>
      </c>
    </row>
    <row r="59">
      <c r="B59" s="2" t="str">
        <f t="shared" si="4"/>
        <v/>
      </c>
      <c r="C59" s="4" t="str">
        <f t="shared" si="5"/>
        <v/>
      </c>
      <c r="D59" s="2" t="str">
        <f t="shared" si="6"/>
        <v/>
      </c>
      <c r="E59" s="2" t="str">
        <f t="shared" si="7"/>
        <v/>
      </c>
    </row>
    <row r="60">
      <c r="B60" s="2" t="str">
        <f t="shared" si="4"/>
        <v/>
      </c>
      <c r="C60" s="4" t="str">
        <f t="shared" si="5"/>
        <v/>
      </c>
      <c r="D60" s="2" t="str">
        <f t="shared" si="6"/>
        <v/>
      </c>
      <c r="E60" s="2" t="str">
        <f t="shared" si="7"/>
        <v/>
      </c>
    </row>
    <row r="61">
      <c r="B61" s="2" t="str">
        <f t="shared" si="4"/>
        <v/>
      </c>
      <c r="C61" s="4" t="str">
        <f t="shared" si="5"/>
        <v/>
      </c>
      <c r="D61" s="2" t="str">
        <f t="shared" si="6"/>
        <v/>
      </c>
      <c r="E61" s="2" t="str">
        <f t="shared" si="7"/>
        <v/>
      </c>
    </row>
    <row r="62">
      <c r="C62" s="4" t="str">
        <f t="shared" si="5"/>
        <v/>
      </c>
      <c r="D62" s="2" t="str">
        <f t="shared" si="6"/>
        <v/>
      </c>
      <c r="E62" s="2" t="str">
        <f t="shared" si="7"/>
        <v/>
      </c>
    </row>
    <row r="63">
      <c r="C63" s="4" t="str">
        <f t="shared" si="5"/>
        <v/>
      </c>
      <c r="D63" s="2" t="str">
        <f t="shared" si="6"/>
        <v/>
      </c>
      <c r="E63" s="2" t="str">
        <f t="shared" si="7"/>
        <v/>
      </c>
    </row>
    <row r="64">
      <c r="C64" s="4" t="str">
        <f t="shared" si="5"/>
        <v/>
      </c>
      <c r="D64" s="2" t="str">
        <f t="shared" si="6"/>
        <v/>
      </c>
      <c r="E64" s="2" t="str">
        <f t="shared" si="7"/>
        <v/>
      </c>
    </row>
    <row r="65">
      <c r="C65" s="4" t="str">
        <f t="shared" si="5"/>
        <v/>
      </c>
      <c r="D65" s="2" t="str">
        <f t="shared" si="6"/>
        <v/>
      </c>
      <c r="E65" s="2" t="str">
        <f t="shared" si="7"/>
        <v/>
      </c>
    </row>
    <row r="66">
      <c r="C66" s="4" t="str">
        <f t="shared" si="5"/>
        <v/>
      </c>
      <c r="D66" s="2" t="str">
        <f t="shared" si="6"/>
        <v/>
      </c>
      <c r="E66" s="2" t="str">
        <f t="shared" si="7"/>
        <v/>
      </c>
    </row>
    <row r="67">
      <c r="C67" s="4" t="str">
        <f t="shared" si="5"/>
        <v/>
      </c>
      <c r="D67" s="2" t="str">
        <f t="shared" si="6"/>
        <v/>
      </c>
      <c r="E67" s="2" t="str">
        <f t="shared" si="7"/>
        <v/>
      </c>
    </row>
    <row r="68">
      <c r="C68" s="4" t="str">
        <f t="shared" si="5"/>
        <v/>
      </c>
      <c r="D68" s="2" t="str">
        <f t="shared" si="6"/>
        <v/>
      </c>
      <c r="E68" s="2" t="str">
        <f t="shared" si="7"/>
        <v/>
      </c>
    </row>
    <row r="69">
      <c r="C69" s="4" t="str">
        <f t="shared" si="5"/>
        <v/>
      </c>
      <c r="D69" s="2" t="str">
        <f t="shared" si="6"/>
        <v/>
      </c>
      <c r="E69" s="2" t="str">
        <f t="shared" si="7"/>
        <v/>
      </c>
    </row>
    <row r="70">
      <c r="D70" s="2" t="str">
        <f t="shared" si="6"/>
        <v/>
      </c>
      <c r="E70" s="2" t="str">
        <f t="shared" si="7"/>
        <v/>
      </c>
    </row>
    <row r="71">
      <c r="E71" s="2" t="str">
        <f t="shared" si="7"/>
        <v/>
      </c>
    </row>
    <row r="72">
      <c r="E72" s="2" t="str">
        <f t="shared" si="7"/>
        <v/>
      </c>
    </row>
    <row r="73">
      <c r="E73" s="2" t="str">
        <f t="shared" si="7"/>
        <v/>
      </c>
    </row>
    <row r="74">
      <c r="E74" s="2" t="str">
        <f t="shared" si="7"/>
        <v/>
      </c>
    </row>
    <row r="75">
      <c r="E75" s="2" t="str">
        <f t="shared" si="7"/>
        <v/>
      </c>
    </row>
    <row r="76">
      <c r="E76" s="2" t="str">
        <f t="shared" si="7"/>
        <v/>
      </c>
    </row>
    <row r="77">
      <c r="E77" s="2" t="str">
        <f t="shared" si="7"/>
        <v/>
      </c>
    </row>
    <row r="78">
      <c r="E78" s="2" t="str">
        <f t="shared" si="7"/>
        <v/>
      </c>
    </row>
    <row r="79">
      <c r="E79" s="2" t="str">
        <f t="shared" si="7"/>
        <v/>
      </c>
    </row>
    <row r="80">
      <c r="E80" s="2" t="str">
        <f t="shared" si="7"/>
        <v/>
      </c>
    </row>
    <row r="81">
      <c r="E81" s="2" t="str">
        <f t="shared" si="7"/>
        <v/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0.75"/>
    <col customWidth="1" min="4" max="4" width="15.13"/>
    <col customWidth="1" min="5" max="5" width="13.88"/>
    <col customWidth="1" min="6" max="6" width="16.63"/>
  </cols>
  <sheetData>
    <row r="1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2" t="s">
        <v>27</v>
      </c>
      <c r="B2" s="13">
        <v>22.0</v>
      </c>
      <c r="C2" s="2">
        <v>60.0</v>
      </c>
      <c r="D2" s="2">
        <f>SUMIF(Formulations!A2:A12,A2,Formulations!C2:C12)</f>
        <v>0.4</v>
      </c>
      <c r="E2" s="2">
        <v>154.0</v>
      </c>
      <c r="F2" s="4">
        <f t="shared" ref="F2:F4" si="1">IF(A2="","",C2*D2*E2)</f>
        <v>3696</v>
      </c>
    </row>
    <row r="3">
      <c r="A3" s="2" t="s">
        <v>66</v>
      </c>
      <c r="B3" s="13">
        <v>22.0</v>
      </c>
      <c r="C3" s="2">
        <v>60.0</v>
      </c>
      <c r="D3" s="2">
        <f>SUMIF(Formulations!A3:A13,A3,Formulations!C3:C13)</f>
        <v>0.4</v>
      </c>
      <c r="E3" s="2">
        <v>200.0</v>
      </c>
      <c r="F3" s="4">
        <f t="shared" si="1"/>
        <v>4800</v>
      </c>
    </row>
    <row r="4">
      <c r="A4" s="2" t="s">
        <v>67</v>
      </c>
      <c r="B4" s="13">
        <v>28.0</v>
      </c>
      <c r="C4" s="2">
        <v>60.0</v>
      </c>
      <c r="D4" s="2">
        <f>SUMIF(Formulations!A4:A14,A4,Formulations!C4:C14)</f>
        <v>0.604</v>
      </c>
      <c r="E4" s="2">
        <v>147.0</v>
      </c>
      <c r="F4" s="4">
        <f t="shared" si="1"/>
        <v>5327.28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14.5"/>
    <col customWidth="1" min="4" max="4" width="20.5"/>
    <col customWidth="1" min="5" max="5" width="24.5"/>
  </cols>
  <sheetData>
    <row r="1">
      <c r="A1" s="1" t="s">
        <v>60</v>
      </c>
      <c r="B1" s="1" t="s">
        <v>68</v>
      </c>
      <c r="C1" s="1" t="s">
        <v>69</v>
      </c>
      <c r="D1" s="1" t="s">
        <v>70</v>
      </c>
      <c r="E1" s="1" t="s">
        <v>71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" t="s">
        <v>27</v>
      </c>
      <c r="B2" s="2" t="s">
        <v>27</v>
      </c>
      <c r="C2" s="2">
        <v>0.4</v>
      </c>
      <c r="D2" s="14">
        <f>C2/vlookup(A2,'Products (Demand)'!$A$2:$D$20,4,false)</f>
        <v>1</v>
      </c>
      <c r="E2" s="4">
        <f t="array" ref="E2">IF(OR($A2="",$B2="",$D2=""),"",
  LET(
    pct, IF(RIGHT($D2,1)="%", VALUE(SUBSTITUTE($D2,"%",""))/100, $D2),
    capFill,  XLOOKUP($A2, 'Products (Demand)'!$A:$A, 'Products (Demand)'!$D:$D, 0),
    capsPer,  XLOOKUP($A2, 'Products (Demand)'!$A:$A, 'Products (Demand)'!$C:$C, 0),
    units,    XLOOKUP($A2, 'Products (Demand)'!$A:$A, 'Products (Demand)'!$E:$E, 0),
    pct * capFill * capsPer * units
  )
)</f>
        <v>3696</v>
      </c>
    </row>
    <row r="3">
      <c r="A3" s="2" t="s">
        <v>66</v>
      </c>
      <c r="B3" s="7" t="s">
        <v>34</v>
      </c>
      <c r="C3" s="15">
        <v>0.1</v>
      </c>
      <c r="D3" s="14">
        <f>C3/vlookup(A3,'Products (Demand)'!$A$2:$D$20,4,false)</f>
        <v>0.25</v>
      </c>
      <c r="E3" s="4">
        <f t="array" ref="E3">IF(OR($A3="",$B3="",$D3=""),"",
  LET(
    pct, IF(RIGHT($D3,1)="%", VALUE(SUBSTITUTE($D3,"%",""))/100, $D3),
    capFill,  XLOOKUP($A3, 'Products (Demand)'!$A:$A, 'Products (Demand)'!$D:$D, 0),
    capsPer,  XLOOKUP($A3, 'Products (Demand)'!$A:$A, 'Products (Demand)'!$C:$C, 0),
    units,    XLOOKUP($A3, 'Products (Demand)'!$A:$A, 'Products (Demand)'!$E:$E, 0),
    pct * capFill * capsPer * units
  )
)</f>
        <v>1200</v>
      </c>
    </row>
    <row r="4">
      <c r="A4" s="2" t="s">
        <v>66</v>
      </c>
      <c r="B4" s="7" t="s">
        <v>40</v>
      </c>
      <c r="C4" s="15">
        <v>0.1</v>
      </c>
      <c r="D4" s="14">
        <f>C4/vlookup(A4,'Products (Demand)'!$A$2:$D$20,4,false)</f>
        <v>0.25</v>
      </c>
      <c r="E4" s="4">
        <f t="array" ref="E4">IF(OR($A4="",$B4="",$D4=""),"",
  LET(
    pct, IF(RIGHT($D4,1)="%", VALUE(SUBSTITUTE($D4,"%",""))/100, $D4),
    capFill,  XLOOKUP($A4, 'Products (Demand)'!$A:$A, 'Products (Demand)'!$D:$D, 0),
    capsPer,  XLOOKUP($A4, 'Products (Demand)'!$A:$A, 'Products (Demand)'!$C:$C, 0),
    units,    XLOOKUP($A4, 'Products (Demand)'!$A:$A, 'Products (Demand)'!$E:$E, 0),
    pct * capFill * capsPer * units
  )
)</f>
        <v>1200</v>
      </c>
    </row>
    <row r="5">
      <c r="A5" s="2" t="s">
        <v>66</v>
      </c>
      <c r="B5" s="7" t="s">
        <v>31</v>
      </c>
      <c r="C5" s="15">
        <v>0.15</v>
      </c>
      <c r="D5" s="14">
        <f>C5/vlookup(A5,'Products (Demand)'!$A$2:$D$20,4,false)</f>
        <v>0.375</v>
      </c>
      <c r="E5" s="4">
        <f t="array" ref="E5">IF(OR($A5="",$B5="",$D5=""),"",
  LET(
    pct, IF(RIGHT($D5,1)="%", VALUE(SUBSTITUTE($D5,"%",""))/100, $D5),
    capFill,  XLOOKUP($A5, 'Products (Demand)'!$A:$A, 'Products (Demand)'!$D:$D, 0),
    capsPer,  XLOOKUP($A5, 'Products (Demand)'!$A:$A, 'Products (Demand)'!$C:$C, 0),
    units,    XLOOKUP($A5, 'Products (Demand)'!$A:$A, 'Products (Demand)'!$E:$E, 0),
    pct * capFill * capsPer * units
  )
)</f>
        <v>1800</v>
      </c>
    </row>
    <row r="6">
      <c r="A6" s="2" t="s">
        <v>66</v>
      </c>
      <c r="B6" s="7" t="s">
        <v>30</v>
      </c>
      <c r="C6" s="15">
        <v>0.05</v>
      </c>
      <c r="D6" s="14">
        <f>C6/vlookup(A6,'Products (Demand)'!$A$2:$D$20,4,false)</f>
        <v>0.125</v>
      </c>
      <c r="E6" s="4">
        <f t="array" ref="E6">IF(OR($A6="",$B6="",$D6=""),"",
  LET(
    pct, IF(RIGHT($D6,1)="%", VALUE(SUBSTITUTE($D6,"%",""))/100, $D6),
    capFill,  XLOOKUP($A6, 'Products (Demand)'!$A:$A, 'Products (Demand)'!$D:$D, 0),
    capsPer,  XLOOKUP($A6, 'Products (Demand)'!$A:$A, 'Products (Demand)'!$C:$C, 0),
    units,    XLOOKUP($A6, 'Products (Demand)'!$A:$A, 'Products (Demand)'!$E:$E, 0),
    pct * capFill * capsPer * units
  )
)</f>
        <v>600</v>
      </c>
    </row>
    <row r="7">
      <c r="A7" s="2" t="s">
        <v>67</v>
      </c>
      <c r="B7" s="7" t="s">
        <v>72</v>
      </c>
      <c r="C7" s="16">
        <v>0.122</v>
      </c>
      <c r="D7" s="14">
        <f>C7/vlookup(A7,'Products (Demand)'!$A$2:$D$20,4,false)</f>
        <v>0.201986755</v>
      </c>
      <c r="E7" s="4">
        <f t="array" ref="E7">IF(OR($A7="",$B7="",$D7=""),"",
  LET(
    pct, IF(RIGHT($D7,1)="%", VALUE(SUBSTITUTE($D7,"%",""))/100, $D7),
    capFill,  XLOOKUP($A7, 'Products (Demand)'!$A:$A, 'Products (Demand)'!$D:$D, 0),
    capsPer,  XLOOKUP($A7, 'Products (Demand)'!$A:$A, 'Products (Demand)'!$C:$C, 0),
    units,    XLOOKUP($A7, 'Products (Demand)'!$A:$A, 'Products (Demand)'!$E:$E, 0),
    pct * capFill * capsPer * units
  )
)</f>
        <v>1076.11056</v>
      </c>
    </row>
    <row r="8">
      <c r="A8" s="2" t="s">
        <v>67</v>
      </c>
      <c r="B8" s="17" t="s">
        <v>25</v>
      </c>
      <c r="C8" s="16">
        <v>0.122</v>
      </c>
      <c r="D8" s="14">
        <f>C8/vlookup(A8,'Products (Demand)'!$A$2:$D$20,4,false)</f>
        <v>0.201986755</v>
      </c>
      <c r="E8" s="4">
        <f t="array" ref="E8">IF(OR($A8="",$B8="",$D8=""),"",
  LET(
    pct, IF(RIGHT($D8,1)="%", VALUE(SUBSTITUTE($D8,"%",""))/100, $D8),
    capFill,  XLOOKUP($A8, 'Products (Demand)'!$A:$A, 'Products (Demand)'!$D:$D, 0),
    capsPer,  XLOOKUP($A8, 'Products (Demand)'!$A:$A, 'Products (Demand)'!$C:$C, 0),
    units,    XLOOKUP($A8, 'Products (Demand)'!$A:$A, 'Products (Demand)'!$E:$E, 0),
    pct * capFill * capsPer * units
  )
)</f>
        <v>1076.11056</v>
      </c>
    </row>
    <row r="9">
      <c r="A9" s="2" t="s">
        <v>67</v>
      </c>
      <c r="B9" s="7" t="s">
        <v>27</v>
      </c>
      <c r="C9" s="16">
        <v>0.145</v>
      </c>
      <c r="D9" s="14">
        <f>C9/vlookup(A9,'Products (Demand)'!$A$2:$D$20,4,false)</f>
        <v>0.2400662252</v>
      </c>
      <c r="E9" s="4">
        <f t="array" ref="E9">IF(OR($A9="",$B9="",$D9=""),"",
  LET(
    pct, IF(RIGHT($D9,1)="%", VALUE(SUBSTITUTE($D9,"%",""))/100, $D9),
    capFill,  XLOOKUP($A9, 'Products (Demand)'!$A:$A, 'Products (Demand)'!$D:$D, 0),
    capsPer,  XLOOKUP($A9, 'Products (Demand)'!$A:$A, 'Products (Demand)'!$C:$C, 0),
    units,    XLOOKUP($A9, 'Products (Demand)'!$A:$A, 'Products (Demand)'!$E:$E, 0),
    pct * capFill * capsPer * units
  )
)</f>
        <v>1279.079928</v>
      </c>
    </row>
    <row r="10">
      <c r="A10" s="2" t="s">
        <v>67</v>
      </c>
      <c r="B10" s="7" t="s">
        <v>34</v>
      </c>
      <c r="C10" s="16">
        <v>0.05</v>
      </c>
      <c r="D10" s="14">
        <f>C10/vlookup(A10,'Products (Demand)'!$A$2:$D$20,4,false)</f>
        <v>0.08278145695</v>
      </c>
      <c r="E10" s="4">
        <f t="array" ref="E10">IF(OR($A10="",$B10="",$D10=""),"",
  LET(
    pct, IF(RIGHT($D10,1)="%", VALUE(SUBSTITUTE($D10,"%",""))/100, $D10),
    capFill,  XLOOKUP($A10, 'Products (Demand)'!$A:$A, 'Products (Demand)'!$D:$D, 0),
    capsPer,  XLOOKUP($A10, 'Products (Demand)'!$A:$A, 'Products (Demand)'!$C:$C, 0),
    units,    XLOOKUP($A10, 'Products (Demand)'!$A:$A, 'Products (Demand)'!$E:$E, 0),
    pct * capFill * capsPer * units
  )
)</f>
        <v>441.098784</v>
      </c>
    </row>
    <row r="11">
      <c r="A11" s="2" t="s">
        <v>67</v>
      </c>
      <c r="B11" s="7" t="s">
        <v>40</v>
      </c>
      <c r="C11" s="16">
        <v>0.05</v>
      </c>
      <c r="D11" s="14">
        <f>C11/vlookup(A11,'Products (Demand)'!$A$2:$D$20,4,false)</f>
        <v>0.08278145695</v>
      </c>
      <c r="E11" s="4">
        <f t="array" ref="E11">IF(OR($A11="",$B11="",$D11=""),"",
  LET(
    pct, IF(RIGHT($D11,1)="%", VALUE(SUBSTITUTE($D11,"%",""))/100, $D11),
    capFill,  XLOOKUP($A11, 'Products (Demand)'!$A:$A, 'Products (Demand)'!$D:$D, 0),
    capsPer,  XLOOKUP($A11, 'Products (Demand)'!$A:$A, 'Products (Demand)'!$C:$C, 0),
    units,    XLOOKUP($A11, 'Products (Demand)'!$A:$A, 'Products (Demand)'!$E:$E, 0),
    pct * capFill * capsPer * units
  )
)</f>
        <v>441.098784</v>
      </c>
    </row>
    <row r="12">
      <c r="A12" s="2" t="s">
        <v>67</v>
      </c>
      <c r="B12" s="17" t="s">
        <v>19</v>
      </c>
      <c r="C12" s="16">
        <v>0.115</v>
      </c>
      <c r="D12" s="14">
        <f>C12/vlookup(A12,'Products (Demand)'!$A$2:$D$20,4,false)</f>
        <v>0.190397351</v>
      </c>
      <c r="E12" s="4">
        <f t="array" ref="E12">IF(OR($A12="",$B12="",$D12=""),"",
  LET(
    pct, IF(RIGHT($D12,1)="%", VALUE(SUBSTITUTE($D12,"%",""))/100, $D12),
    capFill,  XLOOKUP($A12, 'Products (Demand)'!$A:$A, 'Products (Demand)'!$D:$D, 0),
    capsPer,  XLOOKUP($A12, 'Products (Demand)'!$A:$A, 'Products (Demand)'!$C:$C, 0),
    units,    XLOOKUP($A12, 'Products (Demand)'!$A:$A, 'Products (Demand)'!$E:$E, 0),
    pct * capFill * capsPer * units
  )
)</f>
        <v>1014.314112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3" max="3" width="15.25"/>
    <col customWidth="1" min="4" max="4" width="15.75"/>
  </cols>
  <sheetData>
    <row r="1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8" t="s">
        <v>78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7" t="s">
        <v>15</v>
      </c>
      <c r="B2" s="13">
        <v>1.11</v>
      </c>
      <c r="C2" s="2">
        <v>5.171</v>
      </c>
      <c r="D2" s="19">
        <v>14.660099999685002</v>
      </c>
      <c r="E2" s="2">
        <v>15.0</v>
      </c>
      <c r="F2" s="16">
        <v>8.0</v>
      </c>
    </row>
    <row r="3">
      <c r="A3" s="17" t="s">
        <v>17</v>
      </c>
      <c r="B3" s="13">
        <v>1.1</v>
      </c>
      <c r="C3" s="2">
        <v>9.408</v>
      </c>
      <c r="D3" s="19">
        <v>26.671443750945002</v>
      </c>
      <c r="E3" s="2">
        <v>25.0</v>
      </c>
      <c r="F3" s="16">
        <v>8.0</v>
      </c>
    </row>
    <row r="4">
      <c r="A4" s="2" t="s">
        <v>19</v>
      </c>
      <c r="B4" s="13">
        <v>14.0</v>
      </c>
      <c r="D4" s="2">
        <v>1000.0</v>
      </c>
      <c r="F4" s="7"/>
    </row>
    <row r="5">
      <c r="A5" s="17" t="s">
        <v>21</v>
      </c>
      <c r="B5" s="13">
        <v>1.06</v>
      </c>
      <c r="C5" s="2">
        <v>3.956</v>
      </c>
      <c r="D5" s="19">
        <v>11.216155261815002</v>
      </c>
      <c r="E5" s="2">
        <v>15.0</v>
      </c>
      <c r="F5" s="16">
        <v>18.0</v>
      </c>
    </row>
    <row r="6">
      <c r="A6" s="17" t="s">
        <v>23</v>
      </c>
      <c r="B6" s="13">
        <v>1.7</v>
      </c>
      <c r="C6" s="2">
        <v>2.539</v>
      </c>
      <c r="D6" s="19">
        <v>7.198874999190001</v>
      </c>
      <c r="E6" s="2">
        <v>40.0</v>
      </c>
      <c r="F6" s="16">
        <v>11.0</v>
      </c>
    </row>
    <row r="7">
      <c r="A7" s="17" t="s">
        <v>25</v>
      </c>
      <c r="B7" s="13">
        <v>20.0</v>
      </c>
      <c r="D7" s="20">
        <v>1000.0</v>
      </c>
      <c r="F7" s="7"/>
    </row>
    <row r="8">
      <c r="A8" s="17" t="s">
        <v>27</v>
      </c>
      <c r="B8" s="13">
        <v>0.96</v>
      </c>
      <c r="C8" s="2">
        <v>9.159</v>
      </c>
      <c r="D8" s="19">
        <v>25.965692307765</v>
      </c>
      <c r="E8" s="2">
        <v>25.0</v>
      </c>
      <c r="F8" s="16">
        <v>8.0</v>
      </c>
    </row>
    <row r="9">
      <c r="A9" s="17" t="s">
        <v>28</v>
      </c>
      <c r="B9" s="13">
        <v>1.2</v>
      </c>
      <c r="C9" s="2">
        <v>8.284</v>
      </c>
      <c r="D9" s="19">
        <v>23.486203125000003</v>
      </c>
      <c r="E9" s="2">
        <v>25.0</v>
      </c>
      <c r="F9" s="16">
        <v>8.0</v>
      </c>
    </row>
    <row r="10">
      <c r="A10" s="17" t="s">
        <v>29</v>
      </c>
      <c r="B10" s="13">
        <v>1.1</v>
      </c>
      <c r="C10" s="2">
        <v>6.14</v>
      </c>
      <c r="D10" s="19">
        <v>17.4069</v>
      </c>
      <c r="E10" s="2">
        <v>30.0</v>
      </c>
      <c r="F10" s="16">
        <v>13.0</v>
      </c>
    </row>
    <row r="11">
      <c r="A11" s="17" t="s">
        <v>30</v>
      </c>
      <c r="B11" s="13">
        <v>26.0</v>
      </c>
      <c r="D11" s="2">
        <v>1000.0</v>
      </c>
      <c r="F11" s="7"/>
    </row>
    <row r="12">
      <c r="A12" s="17" t="s">
        <v>31</v>
      </c>
      <c r="B12" s="13">
        <v>49.0</v>
      </c>
      <c r="D12" s="2">
        <v>1000.0</v>
      </c>
      <c r="F12" s="7"/>
    </row>
    <row r="13">
      <c r="A13" s="17" t="s">
        <v>32</v>
      </c>
      <c r="B13" s="13">
        <v>1.08</v>
      </c>
      <c r="C13" s="2">
        <v>13.0</v>
      </c>
      <c r="D13" s="19">
        <v>36.855000000000004</v>
      </c>
      <c r="E13" s="2">
        <v>25.0</v>
      </c>
      <c r="F13" s="16">
        <v>8.0</v>
      </c>
    </row>
    <row r="14">
      <c r="A14" s="17" t="s">
        <v>34</v>
      </c>
      <c r="B14" s="13">
        <v>40.5</v>
      </c>
      <c r="D14" s="2">
        <v>1000.0</v>
      </c>
      <c r="F14" s="7"/>
    </row>
    <row r="15">
      <c r="A15" s="17" t="s">
        <v>35</v>
      </c>
      <c r="B15" s="13">
        <v>0.8</v>
      </c>
      <c r="C15" s="2">
        <v>2.996</v>
      </c>
      <c r="D15" s="19">
        <v>8.49240000126</v>
      </c>
      <c r="E15" s="2">
        <v>25.0</v>
      </c>
      <c r="F15" s="16">
        <v>8.0</v>
      </c>
    </row>
    <row r="16">
      <c r="A16" s="17" t="s">
        <v>36</v>
      </c>
      <c r="B16" s="13">
        <v>1.83</v>
      </c>
      <c r="C16" s="2">
        <v>10.543</v>
      </c>
      <c r="D16" s="19">
        <v>29.89034999055</v>
      </c>
      <c r="E16" s="2">
        <v>250.0</v>
      </c>
      <c r="F16" s="16">
        <v>11.0</v>
      </c>
    </row>
    <row r="17">
      <c r="A17" s="17" t="s">
        <v>37</v>
      </c>
      <c r="B17" s="13">
        <v>2.82</v>
      </c>
      <c r="C17" s="2">
        <v>6.22</v>
      </c>
      <c r="D17" s="19">
        <v>17.6337</v>
      </c>
      <c r="E17" s="2">
        <v>150.0</v>
      </c>
      <c r="F17" s="16">
        <v>11.0</v>
      </c>
    </row>
    <row r="18">
      <c r="A18" s="17" t="s">
        <v>38</v>
      </c>
      <c r="B18" s="13">
        <v>240.0</v>
      </c>
      <c r="D18" s="20">
        <v>2267.96</v>
      </c>
      <c r="F18" s="7"/>
    </row>
    <row r="19">
      <c r="A19" s="17" t="s">
        <v>39</v>
      </c>
      <c r="B19" s="13">
        <v>2.15</v>
      </c>
      <c r="C19" s="2">
        <v>13.686</v>
      </c>
      <c r="D19" s="19">
        <v>38.8008409194</v>
      </c>
      <c r="E19" s="2">
        <v>55.0</v>
      </c>
      <c r="F19" s="16">
        <v>8.0</v>
      </c>
    </row>
    <row r="20">
      <c r="A20" s="17" t="s">
        <v>40</v>
      </c>
      <c r="B20" s="13">
        <v>33.0</v>
      </c>
      <c r="D20" s="2">
        <v>1000.0</v>
      </c>
      <c r="F20" s="7"/>
    </row>
    <row r="21">
      <c r="A21" s="17" t="s">
        <v>41</v>
      </c>
      <c r="B21" s="13">
        <v>1.69</v>
      </c>
      <c r="C21" s="2">
        <v>14.805</v>
      </c>
      <c r="D21" s="19">
        <v>41.972175</v>
      </c>
      <c r="E21" s="2">
        <v>150.0</v>
      </c>
      <c r="F21" s="16">
        <v>10.0</v>
      </c>
    </row>
    <row r="22">
      <c r="A22" s="17" t="s">
        <v>42</v>
      </c>
      <c r="B22" s="13">
        <v>1.0</v>
      </c>
      <c r="C22" s="2">
        <v>6.0</v>
      </c>
      <c r="D22" s="19">
        <v>17.01</v>
      </c>
      <c r="E22" s="2">
        <v>30.0</v>
      </c>
      <c r="F22" s="16">
        <v>8.0</v>
      </c>
    </row>
    <row r="23">
      <c r="A23" s="17" t="s">
        <v>43</v>
      </c>
      <c r="B23" s="13">
        <v>1.85</v>
      </c>
      <c r="C23" s="2">
        <v>5.0</v>
      </c>
      <c r="D23" s="19">
        <v>14.175</v>
      </c>
      <c r="E23" s="2">
        <v>200.0</v>
      </c>
      <c r="F23" s="16">
        <v>8.0</v>
      </c>
    </row>
    <row r="24">
      <c r="A24" s="2" t="s">
        <v>16</v>
      </c>
      <c r="B24" s="13">
        <v>0.46</v>
      </c>
    </row>
    <row r="25">
      <c r="A25" s="2" t="s">
        <v>18</v>
      </c>
      <c r="B25" s="13">
        <v>0.0154</v>
      </c>
    </row>
    <row r="26">
      <c r="A26" s="2" t="s">
        <v>20</v>
      </c>
      <c r="B26" s="13">
        <v>0.01</v>
      </c>
    </row>
    <row r="27">
      <c r="A27" s="2" t="s">
        <v>22</v>
      </c>
      <c r="B27" s="13">
        <v>0.11</v>
      </c>
    </row>
    <row r="28">
      <c r="A28" s="2" t="s">
        <v>24</v>
      </c>
      <c r="B28" s="3"/>
    </row>
    <row r="29">
      <c r="A29" s="2" t="s">
        <v>26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12.63"/>
    <col customWidth="1" min="5" max="5" width="16.13"/>
    <col customWidth="1" min="6" max="6" width="16.5"/>
  </cols>
  <sheetData>
    <row r="1">
      <c r="A1" s="1" t="s">
        <v>79</v>
      </c>
      <c r="D1" s="21" t="s">
        <v>68</v>
      </c>
      <c r="E1" s="1" t="s">
        <v>80</v>
      </c>
      <c r="F1" s="1" t="s">
        <v>81</v>
      </c>
    </row>
    <row r="2">
      <c r="A2" s="2" t="s">
        <v>82</v>
      </c>
      <c r="B2" s="2">
        <v>1.0</v>
      </c>
      <c r="D2" s="7" t="s">
        <v>15</v>
      </c>
      <c r="E2" s="4">
        <f t="array" ref="E2">IF(D2="","", IFERROR(XLOOKUP(D2, Overview!$A:$A, Overview!$B:$B), 0))</f>
        <v>0</v>
      </c>
      <c r="F2" s="4">
        <f t="array" ref="F2">IF(D2="","", IFERROR(XLOOKUP(D2, Overview!$A:$A, Overview!$G:$G), 0)/vlookup(D2,'Input Guide'!A:C,3,false))</f>
        <v>0</v>
      </c>
    </row>
    <row r="3">
      <c r="A3" s="2" t="s">
        <v>83</v>
      </c>
      <c r="B3" s="2">
        <v>8.0</v>
      </c>
      <c r="D3" s="7" t="s">
        <v>17</v>
      </c>
      <c r="E3" s="4">
        <f t="array" ref="E3">IF(D3="","", IFERROR(XLOOKUP(D3, Overview!$A:$A, Overview!$B:$B), 0))</f>
        <v>0</v>
      </c>
      <c r="F3" s="4">
        <f t="array" ref="F3">IF(D3="","", IFERROR(XLOOKUP(D3, Overview!$A:$A, Overview!$G:$G), 0)/vlookup(D3,'Input Guide'!A:C,3,false))</f>
        <v>0</v>
      </c>
    </row>
    <row r="4">
      <c r="A4" s="2" t="s">
        <v>84</v>
      </c>
      <c r="B4" s="2">
        <v>24.0</v>
      </c>
      <c r="D4" s="7" t="s">
        <v>21</v>
      </c>
      <c r="E4" s="4">
        <f t="array" ref="E4">IF(D4="","", IFERROR(XLOOKUP(D4, Overview!$A:$A, Overview!$B:$B), 0))</f>
        <v>0</v>
      </c>
      <c r="F4" s="4">
        <f t="array" ref="F4">IF(D4="","", IFERROR(XLOOKUP(D4, Overview!$A:$A, Overview!$G:$G), 0)/vlookup(D4,'Input Guide'!A:C,3,false))</f>
        <v>0</v>
      </c>
    </row>
    <row r="5">
      <c r="A5" s="2" t="s">
        <v>85</v>
      </c>
      <c r="B5" s="2">
        <v>2.0</v>
      </c>
      <c r="D5" s="7" t="s">
        <v>23</v>
      </c>
      <c r="E5" s="4">
        <f t="array" ref="E5">IF(D5="","", IFERROR(XLOOKUP(D5, Overview!$A:$A, Overview!$B:$B), 0))</f>
        <v>0</v>
      </c>
      <c r="F5" s="4">
        <f t="array" ref="F5">IF(D5="","", IFERROR(XLOOKUP(D5, Overview!$A:$A, Overview!$G:$G), 0)/vlookup(D5,'Input Guide'!A:C,3,false))</f>
        <v>0</v>
      </c>
    </row>
    <row r="6">
      <c r="A6" s="2" t="s">
        <v>86</v>
      </c>
      <c r="B6" s="2">
        <v>7.0</v>
      </c>
      <c r="D6" s="7" t="s">
        <v>27</v>
      </c>
      <c r="E6" s="4">
        <f t="array" ref="E6">IF(D6="","", IFERROR(XLOOKUP(D6, Overview!$A:$A, Overview!$B:$B), 0))</f>
        <v>4975.079928</v>
      </c>
      <c r="F6" s="4">
        <f t="array" ref="F6">IF(D6="","", IFERROR(XLOOKUP(D6, Overview!$A:$A, Overview!$G:$G), 0)*(vlookup(D6,'Input Guide'!A:C,3,false))*28.35)</f>
        <v>49750.93856</v>
      </c>
    </row>
    <row r="7">
      <c r="A7" s="2" t="s">
        <v>87</v>
      </c>
      <c r="B7" s="2">
        <v>24.0</v>
      </c>
      <c r="D7" s="7" t="s">
        <v>28</v>
      </c>
      <c r="E7" s="4">
        <f t="array" ref="E7">IF(D7="","", IFERROR(XLOOKUP(D7, Overview!$A:$A, Overview!$B:$B), 0))</f>
        <v>0</v>
      </c>
      <c r="F7" s="4">
        <f t="array" ref="F7">IF(D7="","", IFERROR(XLOOKUP(D7, Overview!$A:$A, Overview!$G:$G), 0)/vlookup(D7,'Input Guide'!A:C,3,false))</f>
        <v>0</v>
      </c>
    </row>
    <row r="8">
      <c r="A8" s="1" t="s">
        <v>88</v>
      </c>
      <c r="B8" s="1">
        <v>30.0</v>
      </c>
      <c r="D8" s="7" t="s">
        <v>29</v>
      </c>
      <c r="E8" s="4">
        <f t="array" ref="E8">IF(D8="","", IFERROR(XLOOKUP(D8, Overview!$A:$A, Overview!$B:$B), 0))</f>
        <v>0</v>
      </c>
      <c r="F8" s="4">
        <f t="array" ref="F8">IF(D8="","", IFERROR(XLOOKUP(D8, Overview!$A:$A, Overview!$G:$G), 0)/vlookup(D8,'Input Guide'!A:C,3,false))</f>
        <v>0</v>
      </c>
    </row>
    <row r="9">
      <c r="A9" s="2" t="s">
        <v>89</v>
      </c>
      <c r="B9" s="2">
        <v>300.0</v>
      </c>
      <c r="D9" s="7" t="s">
        <v>32</v>
      </c>
      <c r="E9" s="4">
        <f t="array" ref="E9">IF(D9="","", IFERROR(XLOOKUP(D9, Overview!$A:$A, Overview!$B:$B), 0))</f>
        <v>0</v>
      </c>
      <c r="F9" s="4">
        <f t="array" ref="F9">IF(D9="","", IFERROR(XLOOKUP(D9, Overview!$A:$A, Overview!$G:$G), 0)/vlookup(D9,'Input Guide'!A:C,3,false))</f>
        <v>0</v>
      </c>
    </row>
    <row r="10">
      <c r="A10" s="2" t="s">
        <v>90</v>
      </c>
      <c r="B10" s="4">
        <f>B9*B11</f>
        <v>30</v>
      </c>
      <c r="D10" s="7" t="s">
        <v>35</v>
      </c>
      <c r="E10" s="4">
        <f t="array" ref="E10">IF(D10="","", IFERROR(XLOOKUP(D10, Overview!$A:$A, Overview!$B:$B), 0))</f>
        <v>0</v>
      </c>
      <c r="F10" s="4">
        <f t="array" ref="F10">IF(D10="","", IFERROR(XLOOKUP(D10, Overview!$A:$A, Overview!$G:$G), 0)/vlookup(D10,'Input Guide'!A:C,3,false))</f>
        <v>0</v>
      </c>
    </row>
    <row r="11">
      <c r="A11" s="2" t="s">
        <v>91</v>
      </c>
      <c r="B11" s="2">
        <v>0.1</v>
      </c>
      <c r="D11" s="7" t="s">
        <v>36</v>
      </c>
      <c r="E11" s="4">
        <f t="array" ref="E11">IF(D11="","", IFERROR(XLOOKUP(D11, Overview!$A:$A, Overview!$B:$B), 0))</f>
        <v>0</v>
      </c>
      <c r="F11" s="4">
        <f t="array" ref="F11">IF(D11="","", IFERROR(XLOOKUP(D11, Overview!$A:$A, Overview!$G:$G), 0)/vlookup(D11,'Input Guide'!A:C,3,false))</f>
        <v>0</v>
      </c>
    </row>
    <row r="12">
      <c r="D12" s="7" t="s">
        <v>37</v>
      </c>
      <c r="E12" s="4">
        <f t="array" ref="E12">IF(D12="","", IFERROR(XLOOKUP(D12, Overview!$A:$A, Overview!$B:$B), 0))</f>
        <v>0</v>
      </c>
      <c r="F12" s="4">
        <f t="array" ref="F12">IF(D12="","", IFERROR(XLOOKUP(D12, Overview!$A:$A, Overview!$G:$G), 0)/vlookup(D12,'Input Guide'!A:C,3,false))</f>
        <v>0</v>
      </c>
    </row>
    <row r="13">
      <c r="A13" s="1" t="s">
        <v>92</v>
      </c>
      <c r="D13" s="7" t="s">
        <v>39</v>
      </c>
      <c r="E13" s="4">
        <f t="array" ref="E13">IF(D13="","", IFERROR(XLOOKUP(D13, Overview!$A:$A, Overview!$B:$B), 0))</f>
        <v>0</v>
      </c>
      <c r="F13" s="4">
        <f t="array" ref="F13">IF(D13="","", IFERROR(XLOOKUP(D13, Overview!$A:$A, Overview!$G:$G), 0)/vlookup(D13,'Input Guide'!A:C,3,false))</f>
        <v>0</v>
      </c>
    </row>
    <row r="14">
      <c r="A14" s="2" t="s">
        <v>93</v>
      </c>
      <c r="B14" s="4">
        <f>B2*B3</f>
        <v>8</v>
      </c>
      <c r="D14" s="7" t="s">
        <v>41</v>
      </c>
      <c r="E14" s="4">
        <f t="array" ref="E14">IF(D14="","", IFERROR(XLOOKUP(D14, Overview!$A:$A, Overview!$B:$B), 0))</f>
        <v>0</v>
      </c>
      <c r="F14" s="4">
        <f t="array" ref="F14">IF(D14="","", IFERROR(XLOOKUP(D14, Overview!$A:$A, Overview!$G:$G), 0)/vlookup(D14,'Input Guide'!A:C,3,false))</f>
        <v>0</v>
      </c>
    </row>
    <row r="15">
      <c r="A15" s="2" t="s">
        <v>94</v>
      </c>
      <c r="B15" s="4">
        <f>B4+B5</f>
        <v>26</v>
      </c>
      <c r="D15" s="7" t="s">
        <v>42</v>
      </c>
      <c r="E15" s="4">
        <f t="array" ref="E15">IF(D15="","", IFERROR(XLOOKUP(D15, Overview!$A:$A, Overview!$B:$B), 0))</f>
        <v>0</v>
      </c>
      <c r="F15" s="4">
        <f t="array" ref="F15">IF(D15="","", IFERROR(XLOOKUP(D15, Overview!$A:$A, Overview!$G:$G), 0)/vlookup(D15,'Input Guide'!A:C,3,false))</f>
        <v>0</v>
      </c>
    </row>
    <row r="16">
      <c r="A16" s="2" t="s">
        <v>95</v>
      </c>
      <c r="B16" s="4">
        <f>B9*B14</f>
        <v>2400</v>
      </c>
      <c r="D16" s="7" t="s">
        <v>43</v>
      </c>
      <c r="E16" s="4">
        <f t="array" ref="E16">IF(D16="","", IFERROR(XLOOKUP(D16, Overview!$A:$A, Overview!$B:$B), 0))</f>
        <v>0</v>
      </c>
      <c r="F16" s="4">
        <f t="array" ref="F16">IF(D16="","", IFERROR(XLOOKUP(D16, Overview!$A:$A, Overview!$G:$G), 0)/vlookup(D16,'Input Guide'!A:C,3,false))</f>
        <v>0</v>
      </c>
    </row>
    <row r="17">
      <c r="A17" s="2" t="s">
        <v>96</v>
      </c>
      <c r="B17" s="4">
        <f>B7*B8</f>
        <v>720</v>
      </c>
      <c r="E17" s="8">
        <f t="shared" ref="E17:F17" si="1">SUM(E2:E16)</f>
        <v>4975.079928</v>
      </c>
      <c r="F17" s="8">
        <f t="shared" si="1"/>
        <v>49750.93856</v>
      </c>
    </row>
    <row r="18">
      <c r="A18" s="2" t="s">
        <v>97</v>
      </c>
      <c r="B18" s="4">
        <f>CEILING(F17/B16,1)</f>
        <v>21</v>
      </c>
    </row>
    <row r="19">
      <c r="A19" s="2" t="s">
        <v>98</v>
      </c>
      <c r="B19" s="4">
        <f>B18*B15</f>
        <v>546</v>
      </c>
    </row>
    <row r="20">
      <c r="A20" s="2" t="s">
        <v>99</v>
      </c>
      <c r="B20" s="4">
        <f>int(B17/B15)</f>
        <v>27</v>
      </c>
    </row>
    <row r="21">
      <c r="A21" s="22" t="str">
        <f>IF(F17=0,"No freeze-dry needed",
 IF(B20 &gt;= B18, "FEASIBLE ✅",
  "NOT FEASIBLE ❌ — Short by " &amp;
  TEXT(F17-(B16*B20), "#,##0") &amp; " g fresh (" &amp;
  CEILING( ((F17/B16)-B20)  , 1) &amp; " cycles, ~" &amp;
  CEILING( ((F17/B16) - B20) *B15 , 1) &amp; " hrs)"
 ))</f>
        <v>FEASIBLE ✅</v>
      </c>
    </row>
    <row r="27">
      <c r="B27" s="2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5" max="5" width="40.88"/>
  </cols>
  <sheetData>
    <row r="1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" t="s">
        <v>19</v>
      </c>
      <c r="B2" s="2" t="s">
        <v>105</v>
      </c>
      <c r="C2" s="19">
        <f>VLOOKUP(A2,Overview!$A$6:$B$30,2,false)</f>
        <v>1014.314112</v>
      </c>
      <c r="D2" s="13">
        <f>Vlookup(A2,'Input Guide'!$A$2:$B$36,2,false)/(VLOOKUP(A2,'Input Guide'!$A$2:$D$36,4,false)/C2)</f>
        <v>14.20039757</v>
      </c>
    </row>
    <row r="3">
      <c r="A3" s="17" t="s">
        <v>25</v>
      </c>
      <c r="B3" s="2" t="s">
        <v>105</v>
      </c>
      <c r="C3" s="19">
        <f>VLOOKUP(A3,Overview!$A$6:$B$30,2,false)</f>
        <v>1076.11056</v>
      </c>
      <c r="D3" s="13">
        <f>Vlookup(A3,'Input Guide'!$A$2:$B$36,2,false)/(VLOOKUP(A3,'Input Guide'!$A$2:$D$36,4,false)/C3)</f>
        <v>21.5222112</v>
      </c>
    </row>
    <row r="4">
      <c r="A4" s="17" t="s">
        <v>30</v>
      </c>
      <c r="B4" s="2" t="s">
        <v>105</v>
      </c>
      <c r="C4" s="19">
        <f>VLOOKUP(A4,Overview!$A$6:$B$30,2,false)</f>
        <v>600</v>
      </c>
      <c r="D4" s="13">
        <f>Vlookup(A4,'Input Guide'!$A$2:$B$36,2,false)/(VLOOKUP(A4,'Input Guide'!$A$2:$D$36,4,false)/C4)</f>
        <v>15.6</v>
      </c>
    </row>
    <row r="5">
      <c r="A5" s="17" t="s">
        <v>31</v>
      </c>
      <c r="B5" s="2" t="s">
        <v>105</v>
      </c>
      <c r="C5" s="19">
        <f>VLOOKUP(A5,Overview!$A$6:$B$30,2,false)</f>
        <v>1800</v>
      </c>
      <c r="D5" s="13">
        <f>Vlookup(A5,'Input Guide'!$A$2:$B$36,2,false)/(VLOOKUP(A5,'Input Guide'!$A$2:$D$36,4,false)/C5)</f>
        <v>88.2</v>
      </c>
    </row>
    <row r="6">
      <c r="A6" s="17" t="s">
        <v>34</v>
      </c>
      <c r="B6" s="2" t="s">
        <v>105</v>
      </c>
      <c r="C6" s="19">
        <f>VLOOKUP(A6,Overview!$A$6:$B$30,2,false)</f>
        <v>1641.098784</v>
      </c>
      <c r="D6" s="13">
        <f>Vlookup(A6,'Input Guide'!$A$2:$B$36,2,false)/(VLOOKUP(A6,'Input Guide'!$A$2:$D$36,4,false)/C6)</f>
        <v>66.46450075</v>
      </c>
    </row>
    <row r="7">
      <c r="A7" s="17" t="s">
        <v>38</v>
      </c>
      <c r="B7" s="2" t="s">
        <v>105</v>
      </c>
      <c r="C7" s="19">
        <f>VLOOKUP(A7,Overview!$A$6:$B$30,2,false)</f>
        <v>1076.11056</v>
      </c>
      <c r="D7" s="13">
        <f>Vlookup(A7,'Input Guide'!$A$2:$B$36,2,false)/(VLOOKUP(A7,'Input Guide'!$A$2:$D$36,4,false)/C7)</f>
        <v>113.8761417</v>
      </c>
    </row>
    <row r="8">
      <c r="A8" s="17" t="s">
        <v>40</v>
      </c>
      <c r="B8" s="2" t="s">
        <v>105</v>
      </c>
      <c r="C8" s="19">
        <f>VLOOKUP(A8,Overview!$A$6:$B$30,2,false)</f>
        <v>1641.098784</v>
      </c>
      <c r="D8" s="13">
        <f>Vlookup(A8,'Input Guide'!$A$2:$B$36,2,false)/(VLOOKUP(A8,'Input Guide'!$A$2:$D$36,4,false)/C8)</f>
        <v>54.15625987</v>
      </c>
    </row>
    <row r="9">
      <c r="A9" s="2" t="s">
        <v>16</v>
      </c>
      <c r="B9" s="2" t="s">
        <v>106</v>
      </c>
      <c r="C9" s="19">
        <f>VLOOKUP(A9,Overview!$D$6:$E$23,2,false)</f>
        <v>501</v>
      </c>
      <c r="D9" s="13">
        <f>C9*VLOOKUP(A9,'Input Guide'!$A$2:$B$40,2,false)</f>
        <v>230.46</v>
      </c>
    </row>
    <row r="10">
      <c r="A10" s="2" t="s">
        <v>18</v>
      </c>
      <c r="B10" s="2" t="s">
        <v>106</v>
      </c>
      <c r="C10" s="19">
        <f>VLOOKUP(A10,Overview!$D$6:$E$23,2,false)</f>
        <v>30060</v>
      </c>
      <c r="D10" s="13">
        <f>C10*VLOOKUP(A10,'Input Guide'!$A$2:$B$40,2,false)</f>
        <v>462.924</v>
      </c>
    </row>
    <row r="11">
      <c r="A11" s="2" t="s">
        <v>20</v>
      </c>
      <c r="B11" s="2" t="s">
        <v>106</v>
      </c>
      <c r="C11" s="19">
        <f>VLOOKUP(A11,Overview!$D$6:$E$23,2,false)</f>
        <v>501</v>
      </c>
      <c r="D11" s="13">
        <f>C11*VLOOKUP(A11,'Input Guide'!$A$2:$B$40,2,false)</f>
        <v>5.01</v>
      </c>
    </row>
    <row r="12">
      <c r="A12" s="2" t="s">
        <v>22</v>
      </c>
      <c r="B12" s="2" t="s">
        <v>106</v>
      </c>
      <c r="C12" s="19">
        <f>VLOOKUP(A12,Overview!$D$6:$E$23,2,false)</f>
        <v>501</v>
      </c>
      <c r="D12" s="13">
        <f>C12*VLOOKUP(A12,'Input Guide'!$A$2:$B$40,2,false)</f>
        <v>55.11</v>
      </c>
    </row>
    <row r="13">
      <c r="A13" s="2" t="s">
        <v>24</v>
      </c>
      <c r="B13" s="2" t="s">
        <v>106</v>
      </c>
      <c r="C13" s="19">
        <f>VLOOKUP(A13,Overview!$D$6:$E$23,2,false)</f>
        <v>501</v>
      </c>
      <c r="D13" s="13">
        <f>C13*VLOOKUP(A13,'Input Guide'!$A$2:$B$40,2,false)</f>
        <v>0</v>
      </c>
    </row>
    <row r="14">
      <c r="A14" s="2" t="s">
        <v>26</v>
      </c>
      <c r="B14" s="2" t="s">
        <v>106</v>
      </c>
      <c r="C14" s="19">
        <f>VLOOKUP(A14,Overview!$D$6:$E$23,2,false)</f>
        <v>501</v>
      </c>
      <c r="D14" s="19">
        <f>C14*VLOOKUP(A14,'Input Guide'!$A$2:$B$40,2,false)</f>
        <v>0</v>
      </c>
    </row>
  </sheetData>
  <conditionalFormatting sqref="E2:E14">
    <cfRule type="beginsWith" dxfId="0" priority="1" stopIfTrue="1" operator="beginsWith" text="Order">
      <formula>LEFT((E2),LEN("Order"))=("Order")</formula>
    </cfRule>
  </conditionalFormatting>
  <conditionalFormatting sqref="E2:E14">
    <cfRule type="cellIs" dxfId="1" priority="2" stopIfTrue="1" operator="equal">
      <formula>"No"</formula>
    </cfRule>
  </conditionalFormatting>
  <conditionalFormatting sqref="E2:E14">
    <cfRule type="beginsWith" dxfId="0" priority="3" stopIfTrue="1" operator="beginsWith" text="Order">
      <formula>LEFT((E2),LEN("Order"))=("Order")</formula>
    </cfRule>
  </conditionalFormatting>
  <conditionalFormatting sqref="E2:E14">
    <cfRule type="cellIs" dxfId="1" priority="4" stopIfTrue="1" operator="equal">
      <formula>"No"</formula>
    </cfRule>
  </conditionalFormatting>
  <conditionalFormatting sqref="E2:E14">
    <cfRule type="beginsWith" dxfId="0" priority="5" stopIfTrue="1" operator="beginsWith" text="Order">
      <formula>LEFT((E2),LEN("Order"))=("Order")</formula>
    </cfRule>
  </conditionalFormatting>
  <conditionalFormatting sqref="E2:E14">
    <cfRule type="cellIs" dxfId="1" priority="6" stopIfTrue="1" operator="equal">
      <formula>"No"</formula>
    </cfRule>
  </conditionalFormatting>
  <conditionalFormatting sqref="E2:E14">
    <cfRule type="beginsWith" dxfId="0" priority="7" stopIfTrue="1" operator="beginsWith" text="Order">
      <formula>LEFT((E2),LEN("Order"))=("Order")</formula>
    </cfRule>
  </conditionalFormatting>
  <conditionalFormatting sqref="E2:E14">
    <cfRule type="cellIs" dxfId="1" priority="8" stopIfTrue="1" operator="equal">
      <formula>"No"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16.13"/>
    <col customWidth="1" min="4" max="4" width="17.88"/>
    <col customWidth="1" min="5" max="5" width="18.63"/>
    <col customWidth="1" min="6" max="6" width="15.5"/>
    <col customWidth="1" min="8" max="8" width="14.63"/>
    <col customWidth="1" min="11" max="11" width="15.0"/>
    <col customWidth="1" min="12" max="12" width="13.75"/>
  </cols>
  <sheetData>
    <row r="1">
      <c r="A1" s="5" t="s">
        <v>60</v>
      </c>
      <c r="B1" s="5" t="s">
        <v>107</v>
      </c>
      <c r="C1" s="5" t="s">
        <v>108</v>
      </c>
      <c r="D1" s="5" t="s">
        <v>109</v>
      </c>
      <c r="E1" s="5" t="s">
        <v>110</v>
      </c>
      <c r="F1" s="5" t="s">
        <v>111</v>
      </c>
      <c r="G1" s="5" t="s">
        <v>112</v>
      </c>
      <c r="H1" s="5" t="s">
        <v>113</v>
      </c>
      <c r="I1" s="5"/>
      <c r="J1" s="5" t="s">
        <v>100</v>
      </c>
      <c r="K1" s="5" t="s">
        <v>114</v>
      </c>
      <c r="L1" s="5" t="s">
        <v>115</v>
      </c>
      <c r="M1" s="5" t="s">
        <v>116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</row>
    <row r="2">
      <c r="A2" s="2" t="s">
        <v>67</v>
      </c>
      <c r="B2" s="4">
        <f>VLOOKUP(A2,'Products (Demand)'!$A$2:$E$29,5,false)</f>
        <v>147</v>
      </c>
      <c r="D2" s="4">
        <f t="shared" ref="D2:D4" si="1">B2-C2</f>
        <v>147</v>
      </c>
      <c r="E2" s="4">
        <f>B2*VLOOKUP(A2,'Products (Demand)'!$A$2:$C$29,3,false)</f>
        <v>8820</v>
      </c>
      <c r="G2" s="4">
        <f t="shared" ref="G2:G4" si="2">C2*60+F2</f>
        <v>0</v>
      </c>
      <c r="H2" s="4">
        <f t="shared" ref="H2:H4" si="3">E2-G2</f>
        <v>8820</v>
      </c>
      <c r="J2" s="7" t="s">
        <v>15</v>
      </c>
      <c r="K2" s="4">
        <f>VLOOKUP(J2,Overview!$A$6:$H$28,8,false)</f>
        <v>0</v>
      </c>
      <c r="M2" s="4">
        <f t="shared" ref="M2:M16" si="4">K2-L2</f>
        <v>0</v>
      </c>
    </row>
    <row r="3">
      <c r="A3" s="2" t="s">
        <v>66</v>
      </c>
      <c r="B3" s="4">
        <f>VLOOKUP(A3,'Products (Demand)'!$A$2:$E$29,5,false)</f>
        <v>200</v>
      </c>
      <c r="D3" s="4">
        <f t="shared" si="1"/>
        <v>200</v>
      </c>
      <c r="E3" s="4">
        <f>B3*VLOOKUP(A3,'Products (Demand)'!$A$2:$C$29,3,false)</f>
        <v>12000</v>
      </c>
      <c r="G3" s="4">
        <f t="shared" si="2"/>
        <v>0</v>
      </c>
      <c r="H3" s="4">
        <f t="shared" si="3"/>
        <v>12000</v>
      </c>
      <c r="J3" s="7" t="s">
        <v>17</v>
      </c>
      <c r="K3" s="4">
        <f>VLOOKUP(J3,Overview!$A$6:$H$28,8,false)</f>
        <v>0</v>
      </c>
      <c r="M3" s="4">
        <f t="shared" si="4"/>
        <v>0</v>
      </c>
    </row>
    <row r="4">
      <c r="A4" s="2" t="s">
        <v>27</v>
      </c>
      <c r="B4" s="4">
        <f>VLOOKUP(A4,'Products (Demand)'!$A$2:$E$29,5,false)</f>
        <v>154</v>
      </c>
      <c r="D4" s="4">
        <f t="shared" si="1"/>
        <v>154</v>
      </c>
      <c r="E4" s="4">
        <f>B4*VLOOKUP(A4,'Products (Demand)'!$A$2:$C$29,3,false)</f>
        <v>9240</v>
      </c>
      <c r="G4" s="4">
        <f t="shared" si="2"/>
        <v>0</v>
      </c>
      <c r="H4" s="4">
        <f t="shared" si="3"/>
        <v>9240</v>
      </c>
      <c r="J4" s="7" t="s">
        <v>21</v>
      </c>
      <c r="K4" s="4">
        <f>VLOOKUP(J4,Overview!$A$6:$H$28,8,false)</f>
        <v>0</v>
      </c>
      <c r="M4" s="4">
        <f t="shared" si="4"/>
        <v>0</v>
      </c>
    </row>
    <row r="5">
      <c r="J5" s="7" t="s">
        <v>23</v>
      </c>
      <c r="K5" s="4">
        <f>VLOOKUP(J5,Overview!$A$6:$H$28,8,false)</f>
        <v>0</v>
      </c>
      <c r="M5" s="4">
        <f t="shared" si="4"/>
        <v>0</v>
      </c>
    </row>
    <row r="6">
      <c r="J6" s="7" t="s">
        <v>27</v>
      </c>
      <c r="K6" s="4">
        <f>VLOOKUP(J6,Overview!$A$6:$H$28,8,false)</f>
        <v>192</v>
      </c>
      <c r="M6" s="4">
        <f t="shared" si="4"/>
        <v>192</v>
      </c>
    </row>
    <row r="7">
      <c r="J7" s="7" t="s">
        <v>28</v>
      </c>
      <c r="K7" s="4">
        <f>VLOOKUP(J7,Overview!$A$6:$H$28,8,false)</f>
        <v>0</v>
      </c>
      <c r="M7" s="4">
        <f t="shared" si="4"/>
        <v>0</v>
      </c>
    </row>
    <row r="8">
      <c r="J8" s="7" t="s">
        <v>29</v>
      </c>
      <c r="K8" s="4">
        <f>VLOOKUP(J8,Overview!$A$6:$H$28,8,false)</f>
        <v>0</v>
      </c>
      <c r="M8" s="4">
        <f t="shared" si="4"/>
        <v>0</v>
      </c>
    </row>
    <row r="9">
      <c r="J9" s="7" t="s">
        <v>32</v>
      </c>
      <c r="K9" s="4">
        <f>VLOOKUP(J9,Overview!$A$6:$H$28,8,false)</f>
        <v>0</v>
      </c>
      <c r="M9" s="4">
        <f t="shared" si="4"/>
        <v>0</v>
      </c>
    </row>
    <row r="10">
      <c r="J10" s="7" t="s">
        <v>35</v>
      </c>
      <c r="K10" s="4">
        <f>VLOOKUP(J10,Overview!$A$6:$H$28,8,false)</f>
        <v>0</v>
      </c>
      <c r="M10" s="4">
        <f t="shared" si="4"/>
        <v>0</v>
      </c>
    </row>
    <row r="11">
      <c r="J11" s="7" t="s">
        <v>36</v>
      </c>
      <c r="K11" s="4">
        <f>VLOOKUP(J11,Overview!$A$6:$H$28,8,false)</f>
        <v>0</v>
      </c>
      <c r="M11" s="4">
        <f t="shared" si="4"/>
        <v>0</v>
      </c>
    </row>
    <row r="12">
      <c r="J12" s="7" t="s">
        <v>37</v>
      </c>
      <c r="K12" s="4">
        <f>VLOOKUP(J12,Overview!$A$6:$H$28,8,false)</f>
        <v>0</v>
      </c>
      <c r="M12" s="4">
        <f t="shared" si="4"/>
        <v>0</v>
      </c>
    </row>
    <row r="13">
      <c r="J13" s="7" t="s">
        <v>39</v>
      </c>
      <c r="K13" s="4">
        <f>VLOOKUP(J13,Overview!$A$6:$H$28,8,false)</f>
        <v>0</v>
      </c>
      <c r="M13" s="4">
        <f t="shared" si="4"/>
        <v>0</v>
      </c>
    </row>
    <row r="14">
      <c r="J14" s="7" t="s">
        <v>41</v>
      </c>
      <c r="K14" s="4">
        <f>VLOOKUP(J14,Overview!$A$6:$H$28,8,false)</f>
        <v>0</v>
      </c>
      <c r="M14" s="4">
        <f t="shared" si="4"/>
        <v>0</v>
      </c>
    </row>
    <row r="15">
      <c r="J15" s="7" t="s">
        <v>42</v>
      </c>
      <c r="K15" s="4">
        <f>VLOOKUP(J15,Overview!$A$6:$H$28,8,false)</f>
        <v>0</v>
      </c>
      <c r="M15" s="4">
        <f t="shared" si="4"/>
        <v>0</v>
      </c>
    </row>
    <row r="16">
      <c r="J16" s="7" t="s">
        <v>43</v>
      </c>
      <c r="K16" s="4">
        <f>VLOOKUP(J16,Overview!$A$6:$H$28,8,false)</f>
        <v>0</v>
      </c>
      <c r="M16" s="4">
        <f t="shared" si="4"/>
        <v>0</v>
      </c>
    </row>
  </sheetData>
  <drawing r:id="rId2"/>
  <legacyDrawing r:id="rId3"/>
</worksheet>
</file>