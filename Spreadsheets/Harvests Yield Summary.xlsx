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Yield Summary" sheetId="1" r:id="rId4"/>
    <sheet state="visible" name="Form Responses 1" sheetId="2" r:id="rId5"/>
  </sheets>
  <definedNames/>
  <calcPr/>
</workbook>
</file>

<file path=xl/sharedStrings.xml><?xml version="1.0" encoding="utf-8"?>
<sst xmlns="http://schemas.openxmlformats.org/spreadsheetml/2006/main" count="205" uniqueCount="28">
  <si>
    <t>Microgreen</t>
  </si>
  <si>
    <t>Count</t>
  </si>
  <si>
    <t>Min</t>
  </si>
  <si>
    <t>Avg Yield</t>
  </si>
  <si>
    <t>Max</t>
  </si>
  <si>
    <t>Std Dev</t>
  </si>
  <si>
    <t>Lower Range</t>
  </si>
  <si>
    <t>Higher Range</t>
  </si>
  <si>
    <t>Amaranth</t>
  </si>
  <si>
    <t>Arugula</t>
  </si>
  <si>
    <t>Basil</t>
  </si>
  <si>
    <t>Beet</t>
  </si>
  <si>
    <t>Buckwheat</t>
  </si>
  <si>
    <t>Broccoli</t>
  </si>
  <si>
    <t>Cabbage</t>
  </si>
  <si>
    <t>Cantaloupe</t>
  </si>
  <si>
    <t>Cilantro</t>
  </si>
  <si>
    <t>Kale</t>
  </si>
  <si>
    <t>Mustard</t>
  </si>
  <si>
    <t>Pea</t>
  </si>
  <si>
    <t>Popcorn</t>
  </si>
  <si>
    <t>Radish</t>
  </si>
  <si>
    <t>Strawberry</t>
  </si>
  <si>
    <t>Sunflower</t>
  </si>
  <si>
    <t>Wheatgrass</t>
  </si>
  <si>
    <t>Timestamp</t>
  </si>
  <si>
    <t>Microgreen Type</t>
  </si>
  <si>
    <t>Yield (oz)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</si>
</sst>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vertical="bottom"/>
    </xf>
    <xf borderId="0" fillId="0" fontId="2" numFmtId="0" xfId="0" applyAlignment="1" applyFont="1">
      <alignment horizontal="left" readingOrder="0" shrinkToFit="0" vertical="center" wrapText="0"/>
    </xf>
    <xf borderId="0" fillId="0" fontId="2" numFmtId="164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164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C178" displayName="Form_Responses1" name="Form_Responses1" id="1">
  <tableColumns count="3">
    <tableColumn name="Timestamp" id="1"/>
    <tableColumn name="Microgreen Type" id="2"/>
    <tableColumn name="Yield (oz)" id="3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8</v>
      </c>
      <c r="B2" s="4">
        <f>COUNTIF('Form Responses 1'!B:B, A2)</f>
        <v>18</v>
      </c>
      <c r="C2" s="4">
        <f>IFERROR(__xludf.DUMMYFUNCTION("MIN(FILTER('Form Responses 1'!C:C, 'Form Responses 1'!B:B=A2))"),3.14)</f>
        <v>3.14</v>
      </c>
      <c r="D2" s="4">
        <f>AVERAGEIF('Form Responses 1'!B:B, A2, 'Form Responses 1'!C:C)</f>
        <v>5.171111111</v>
      </c>
      <c r="E2" s="4">
        <f>IFERROR(__xludf.DUMMYFUNCTION("MAX(FILTER('Form Responses 1'!C:C, 'Form Responses 1'!B:B=A2))"),8.25)</f>
        <v>8.25</v>
      </c>
      <c r="F2" s="4">
        <f>IFERROR(__xludf.DUMMYFUNCTION("STDEV(FILTER('Form Responses 1'!C:C, 'Form Responses 1'!B:B=A2))"),1.518280330966154)</f>
        <v>1.518280331</v>
      </c>
      <c r="G2" s="4">
        <f t="shared" ref="G2:G18" si="1">D2-F2</f>
        <v>3.65283078</v>
      </c>
      <c r="H2" s="4">
        <f t="shared" ref="H2:H18" si="2">D2+F2</f>
        <v>6.689391442</v>
      </c>
    </row>
    <row r="3">
      <c r="A3" s="3" t="s">
        <v>9</v>
      </c>
      <c r="B3" s="4">
        <f>COUNTIF('Form Responses 1'!B:B, A3)</f>
        <v>24</v>
      </c>
      <c r="C3" s="4">
        <f>IFERROR(__xludf.DUMMYFUNCTION("MIN(FILTER('Form Responses 1'!C:C, 'Form Responses 1'!B:B=A3))"),5.8)</f>
        <v>5.8</v>
      </c>
      <c r="D3" s="4">
        <f>AVERAGEIF('Form Responses 1'!B:B, A3, 'Form Responses 1'!C:C)</f>
        <v>9.407916667</v>
      </c>
      <c r="E3" s="4">
        <f>IFERROR(__xludf.DUMMYFUNCTION("MAX(FILTER('Form Responses 1'!C:C, 'Form Responses 1'!B:B=A3))"),16.55)</f>
        <v>16.55</v>
      </c>
      <c r="F3" s="4">
        <f>IFERROR(__xludf.DUMMYFUNCTION("STDEV(FILTER('Form Responses 1'!C:C, 'Form Responses 1'!B:B=A3))"),3.124163859153451)</f>
        <v>3.124163859</v>
      </c>
      <c r="G3" s="4">
        <f t="shared" si="1"/>
        <v>6.283752808</v>
      </c>
      <c r="H3" s="4">
        <f t="shared" si="2"/>
        <v>12.53208053</v>
      </c>
    </row>
    <row r="4">
      <c r="A4" s="5" t="s">
        <v>10</v>
      </c>
      <c r="B4" s="4">
        <f>COUNTIF('Form Responses 1'!B:B, A4)</f>
        <v>19</v>
      </c>
      <c r="C4" s="4">
        <f>IFERROR(__xludf.DUMMYFUNCTION("MIN(FILTER('Form Responses 1'!C:C, 'Form Responses 1'!B:B=A4))"),1.11)</f>
        <v>1.11</v>
      </c>
      <c r="D4" s="4">
        <f>AVERAGEIF('Form Responses 1'!B:B, A4, 'Form Responses 1'!C:C)</f>
        <v>3.956315789</v>
      </c>
      <c r="E4" s="4">
        <f>IFERROR(__xludf.DUMMYFUNCTION("MAX(FILTER('Form Responses 1'!C:C, 'Form Responses 1'!B:B=A4))"),9.39)</f>
        <v>9.39</v>
      </c>
      <c r="F4" s="4">
        <f>IFERROR(__xludf.DUMMYFUNCTION("STDEV(FILTER('Form Responses 1'!C:C, 'Form Responses 1'!B:B=A4))"),2.3152758667556848)</f>
        <v>2.315275867</v>
      </c>
      <c r="G4" s="4">
        <f t="shared" si="1"/>
        <v>1.641039923</v>
      </c>
      <c r="H4" s="4">
        <f t="shared" si="2"/>
        <v>6.271591656</v>
      </c>
    </row>
    <row r="5">
      <c r="A5" s="5" t="s">
        <v>11</v>
      </c>
      <c r="B5" s="4">
        <f>COUNTIF('Form Responses 1'!B:B, A5)</f>
        <v>14</v>
      </c>
      <c r="C5" s="4">
        <f>IFERROR(__xludf.DUMMYFUNCTION("MIN(FILTER('Form Responses 1'!C:C, 'Form Responses 1'!B:B=A5))"),1.48)</f>
        <v>1.48</v>
      </c>
      <c r="D5" s="4">
        <f>AVERAGEIF('Form Responses 1'!B:B, A5, 'Form Responses 1'!C:C)</f>
        <v>2.539285714</v>
      </c>
      <c r="E5" s="4">
        <f>IFERROR(__xludf.DUMMYFUNCTION("MAX(FILTER('Form Responses 1'!C:C, 'Form Responses 1'!B:B=A5))"),3.71)</f>
        <v>3.71</v>
      </c>
      <c r="F5" s="4">
        <f>IFERROR(__xludf.DUMMYFUNCTION("STDEV(FILTER('Form Responses 1'!C:C, 'Form Responses 1'!B:B=A5))"),0.7154392334107046)</f>
        <v>0.7154392334</v>
      </c>
      <c r="G5" s="4">
        <f t="shared" si="1"/>
        <v>1.823846481</v>
      </c>
      <c r="H5" s="4">
        <f t="shared" si="2"/>
        <v>3.254724948</v>
      </c>
    </row>
    <row r="6">
      <c r="A6" s="5" t="s">
        <v>12</v>
      </c>
      <c r="B6" s="4">
        <f>COUNTIF('Form Responses 1'!B:B, A6)</f>
        <v>0</v>
      </c>
      <c r="C6" s="4" t="str">
        <f>IFERROR(__xludf.DUMMYFUNCTION("MIN(FILTER('Form Responses 1'!C:C, 'Form Responses 1'!B:B=A6))"),"#N/A")</f>
        <v>#N/A</v>
      </c>
      <c r="D6" s="4" t="str">
        <f>AVERAGEIF('Form Responses 1'!B:B, A6, 'Form Responses 1'!C:C)</f>
        <v>#DIV/0!</v>
      </c>
      <c r="E6" s="4" t="str">
        <f>IFERROR(__xludf.DUMMYFUNCTION("MAX(FILTER('Form Responses 1'!C:C, 'Form Responses 1'!B:B=A6))"),"#N/A")</f>
        <v>#N/A</v>
      </c>
      <c r="F6" s="4" t="str">
        <f>IFERROR(__xludf.DUMMYFUNCTION("STDEV(FILTER('Form Responses 1'!C:C, 'Form Responses 1'!B:B=A6))"),"#N/A")</f>
        <v>#N/A</v>
      </c>
      <c r="G6" s="4" t="str">
        <f t="shared" si="1"/>
        <v>#DIV/0!</v>
      </c>
      <c r="H6" s="4" t="str">
        <f t="shared" si="2"/>
        <v>#DIV/0!</v>
      </c>
    </row>
    <row r="7">
      <c r="A7" s="5" t="s">
        <v>13</v>
      </c>
      <c r="B7" s="4">
        <f>COUNTIF('Form Responses 1'!B:B, A7)</f>
        <v>39</v>
      </c>
      <c r="C7" s="4">
        <f>IFERROR(__xludf.DUMMYFUNCTION("MIN(FILTER('Form Responses 1'!C:C, 'Form Responses 1'!B:B=A7))"),2.85)</f>
        <v>2.85</v>
      </c>
      <c r="D7" s="4">
        <f>AVERAGEIF('Form Responses 1'!B:B, A7, 'Form Responses 1'!C:C)</f>
        <v>9.158974359</v>
      </c>
      <c r="E7" s="4">
        <f>IFERROR(__xludf.DUMMYFUNCTION("MAX(FILTER('Form Responses 1'!C:C, 'Form Responses 1'!B:B=A7))"),18.2)</f>
        <v>18.2</v>
      </c>
      <c r="F7" s="4">
        <f>IFERROR(__xludf.DUMMYFUNCTION("STDEV(FILTER('Form Responses 1'!C:C, 'Form Responses 1'!B:B=A7))"),3.3818492254291526)</f>
        <v>3.381849225</v>
      </c>
      <c r="G7" s="4">
        <f t="shared" si="1"/>
        <v>5.777125134</v>
      </c>
      <c r="H7" s="4">
        <f t="shared" si="2"/>
        <v>12.54082358</v>
      </c>
    </row>
    <row r="8">
      <c r="A8" s="5" t="s">
        <v>14</v>
      </c>
      <c r="B8" s="4">
        <f>COUNTIF('Form Responses 1'!B:B, A8)</f>
        <v>16</v>
      </c>
      <c r="C8" s="4">
        <f>IFERROR(__xludf.DUMMYFUNCTION("MIN(FILTER('Form Responses 1'!C:C, 'Form Responses 1'!B:B=A8))"),5.45)</f>
        <v>5.45</v>
      </c>
      <c r="D8" s="4">
        <f>AVERAGEIF('Form Responses 1'!B:B, A8, 'Form Responses 1'!C:C)</f>
        <v>8.284375</v>
      </c>
      <c r="E8" s="4">
        <f>IFERROR(__xludf.DUMMYFUNCTION("MAX(FILTER('Form Responses 1'!C:C, 'Form Responses 1'!B:B=A8))"),13.6)</f>
        <v>13.6</v>
      </c>
      <c r="F8" s="4">
        <f>IFERROR(__xludf.DUMMYFUNCTION("STDEV(FILTER('Form Responses 1'!C:C, 'Form Responses 1'!B:B=A8))"),2.1763975395134048)</f>
        <v>2.17639754</v>
      </c>
      <c r="G8" s="4">
        <f t="shared" si="1"/>
        <v>6.10797746</v>
      </c>
      <c r="H8" s="4">
        <f t="shared" si="2"/>
        <v>10.46077254</v>
      </c>
    </row>
    <row r="9">
      <c r="A9" s="5" t="s">
        <v>15</v>
      </c>
      <c r="B9" s="4">
        <f>COUNTIF('Form Responses 1'!B:B, A9)</f>
        <v>3</v>
      </c>
      <c r="C9" s="4">
        <f>IFERROR(__xludf.DUMMYFUNCTION("MIN(FILTER('Form Responses 1'!C:C, 'Form Responses 1'!B:B=A9))"),1.5)</f>
        <v>1.5</v>
      </c>
      <c r="D9" s="4">
        <f>AVERAGEIF('Form Responses 1'!B:B, A9, 'Form Responses 1'!C:C)</f>
        <v>6.14</v>
      </c>
      <c r="E9" s="4">
        <f>IFERROR(__xludf.DUMMYFUNCTION("MAX(FILTER('Form Responses 1'!C:C, 'Form Responses 1'!B:B=A9))"),8.71)</f>
        <v>8.71</v>
      </c>
      <c r="F9" s="4">
        <f>IFERROR(__xludf.DUMMYFUNCTION("STDEV(FILTER('Form Responses 1'!C:C, 'Form Responses 1'!B:B=A9))"),4.026127171364561)</f>
        <v>4.026127171</v>
      </c>
      <c r="G9" s="4">
        <f t="shared" si="1"/>
        <v>2.113872829</v>
      </c>
      <c r="H9" s="4">
        <f t="shared" si="2"/>
        <v>10.16612717</v>
      </c>
    </row>
    <row r="10">
      <c r="A10" s="5" t="s">
        <v>16</v>
      </c>
      <c r="B10" s="4">
        <f>COUNTIF('Form Responses 1'!B:B, A10)</f>
        <v>0</v>
      </c>
      <c r="C10" s="4" t="str">
        <f>IFERROR(__xludf.DUMMYFUNCTION("MIN(FILTER('Form Responses 1'!C:C, 'Form Responses 1'!B:B=A10))"),"#N/A")</f>
        <v>#N/A</v>
      </c>
      <c r="D10" s="4" t="str">
        <f>AVERAGEIF('Form Responses 1'!B:B, A10, 'Form Responses 1'!C:C)</f>
        <v>#DIV/0!</v>
      </c>
      <c r="E10" s="4" t="str">
        <f>IFERROR(__xludf.DUMMYFUNCTION("MAX(FILTER('Form Responses 1'!C:C, 'Form Responses 1'!B:B=A10))"),"#N/A")</f>
        <v>#N/A</v>
      </c>
      <c r="F10" s="4" t="str">
        <f>IFERROR(__xludf.DUMMYFUNCTION("STDEV(FILTER('Form Responses 1'!C:C, 'Form Responses 1'!B:B=A10))"),"#N/A")</f>
        <v>#N/A</v>
      </c>
      <c r="G10" s="4" t="str">
        <f t="shared" si="1"/>
        <v>#DIV/0!</v>
      </c>
      <c r="H10" s="4" t="str">
        <f t="shared" si="2"/>
        <v>#DIV/0!</v>
      </c>
    </row>
    <row r="11">
      <c r="A11" s="5" t="s">
        <v>17</v>
      </c>
      <c r="B11" s="4">
        <f>COUNTIF('Form Responses 1'!B:B, A11)</f>
        <v>0</v>
      </c>
      <c r="C11" s="4" t="str">
        <f>IFERROR(__xludf.DUMMYFUNCTION("MIN(FILTER('Form Responses 1'!C:C, 'Form Responses 1'!B:B=A11))"),"#N/A")</f>
        <v>#N/A</v>
      </c>
      <c r="D11" s="4" t="str">
        <f>AVERAGEIF('Form Responses 1'!B:B, A11, 'Form Responses 1'!C:C)</f>
        <v>#DIV/0!</v>
      </c>
      <c r="E11" s="4" t="str">
        <f>IFERROR(__xludf.DUMMYFUNCTION("MAX(FILTER('Form Responses 1'!C:C, 'Form Responses 1'!B:B=A11))"),"#N/A")</f>
        <v>#N/A</v>
      </c>
      <c r="F11" s="4" t="str">
        <f>IFERROR(__xludf.DUMMYFUNCTION("STDEV(FILTER('Form Responses 1'!C:C, 'Form Responses 1'!B:B=A11))"),"#N/A")</f>
        <v>#N/A</v>
      </c>
      <c r="G11" s="4" t="str">
        <f t="shared" si="1"/>
        <v>#DIV/0!</v>
      </c>
      <c r="H11" s="4" t="str">
        <f t="shared" si="2"/>
        <v>#DIV/0!</v>
      </c>
    </row>
    <row r="12">
      <c r="A12" s="5" t="s">
        <v>18</v>
      </c>
      <c r="B12" s="4">
        <f>COUNTIF('Form Responses 1'!B:B, A12)</f>
        <v>18</v>
      </c>
      <c r="C12" s="4">
        <f>IFERROR(__xludf.DUMMYFUNCTION("MIN(FILTER('Form Responses 1'!C:C, 'Form Responses 1'!B:B=A12))"),1.0)</f>
        <v>1</v>
      </c>
      <c r="D12" s="4">
        <f>AVERAGEIF('Form Responses 1'!B:B, A12, 'Form Responses 1'!C:C)</f>
        <v>2.995555556</v>
      </c>
      <c r="E12" s="4">
        <f>IFERROR(__xludf.DUMMYFUNCTION("MAX(FILTER('Form Responses 1'!C:C, 'Form Responses 1'!B:B=A12))"),9.44)</f>
        <v>9.44</v>
      </c>
      <c r="F12" s="4">
        <f>IFERROR(__xludf.DUMMYFUNCTION("STDEV(FILTER('Form Responses 1'!C:C, 'Form Responses 1'!B:B=A12))"),1.9465239673724943)</f>
        <v>1.946523967</v>
      </c>
      <c r="G12" s="4">
        <f t="shared" si="1"/>
        <v>1.049031588</v>
      </c>
      <c r="H12" s="4">
        <f t="shared" si="2"/>
        <v>4.942079523</v>
      </c>
    </row>
    <row r="13">
      <c r="A13" s="5" t="s">
        <v>19</v>
      </c>
      <c r="B13" s="4">
        <f>COUNTIF('Form Responses 1'!B:B, A13)</f>
        <v>9</v>
      </c>
      <c r="C13" s="4">
        <f>IFERROR(__xludf.DUMMYFUNCTION("MIN(FILTER('Form Responses 1'!C:C, 'Form Responses 1'!B:B=A13))"),5.34)</f>
        <v>5.34</v>
      </c>
      <c r="D13" s="4">
        <f>AVERAGEIF('Form Responses 1'!B:B, A13, 'Form Responses 1'!C:C)</f>
        <v>10.54333333</v>
      </c>
      <c r="E13" s="4">
        <f>IFERROR(__xludf.DUMMYFUNCTION("MAX(FILTER('Form Responses 1'!C:C, 'Form Responses 1'!B:B=A13))"),18.39)</f>
        <v>18.39</v>
      </c>
      <c r="F13" s="4">
        <f>IFERROR(__xludf.DUMMYFUNCTION("STDEV(FILTER('Form Responses 1'!C:C, 'Form Responses 1'!B:B=A13))"),3.648064555349864)</f>
        <v>3.648064555</v>
      </c>
      <c r="G13" s="4">
        <f t="shared" si="1"/>
        <v>6.895268778</v>
      </c>
      <c r="H13" s="4">
        <f t="shared" si="2"/>
        <v>14.19139789</v>
      </c>
    </row>
    <row r="14">
      <c r="A14" s="5" t="s">
        <v>20</v>
      </c>
      <c r="B14" s="4">
        <f>COUNTIF('Form Responses 1'!B:B, A14)</f>
        <v>2</v>
      </c>
      <c r="C14" s="4">
        <f>IFERROR(__xludf.DUMMYFUNCTION("MIN(FILTER('Form Responses 1'!C:C, 'Form Responses 1'!B:B=A14))"),6.14)</f>
        <v>6.14</v>
      </c>
      <c r="D14" s="4">
        <f>AVERAGEIF('Form Responses 1'!B:B, A14, 'Form Responses 1'!C:C)</f>
        <v>6.22</v>
      </c>
      <c r="E14" s="4">
        <f>IFERROR(__xludf.DUMMYFUNCTION("MAX(FILTER('Form Responses 1'!C:C, 'Form Responses 1'!B:B=A14))"),6.3)</f>
        <v>6.3</v>
      </c>
      <c r="F14" s="4">
        <f>IFERROR(__xludf.DUMMYFUNCTION("STDEV(FILTER('Form Responses 1'!C:C, 'Form Responses 1'!B:B=A14))"),0.1131370849898477)</f>
        <v>0.113137085</v>
      </c>
      <c r="G14" s="4">
        <f t="shared" si="1"/>
        <v>6.106862915</v>
      </c>
      <c r="H14" s="4">
        <f t="shared" si="2"/>
        <v>6.333137085</v>
      </c>
    </row>
    <row r="15">
      <c r="A15" s="5" t="s">
        <v>21</v>
      </c>
      <c r="B15" s="4">
        <f>COUNTIF('Form Responses 1'!B:B, A15)</f>
        <v>11</v>
      </c>
      <c r="C15" s="4">
        <f>IFERROR(__xludf.DUMMYFUNCTION("MIN(FILTER('Form Responses 1'!C:C, 'Form Responses 1'!B:B=A15))"),8.38)</f>
        <v>8.38</v>
      </c>
      <c r="D15" s="4">
        <f>AVERAGEIF('Form Responses 1'!B:B, A15, 'Form Responses 1'!C:C)</f>
        <v>13.68636364</v>
      </c>
      <c r="E15" s="4">
        <f>IFERROR(__xludf.DUMMYFUNCTION("MAX(FILTER('Form Responses 1'!C:C, 'Form Responses 1'!B:B=A15))"),20.26)</f>
        <v>20.26</v>
      </c>
      <c r="F15" s="4">
        <f>IFERROR(__xludf.DUMMYFUNCTION("STDEV(FILTER('Form Responses 1'!C:C, 'Form Responses 1'!B:B=A15))"),3.67656163480846)</f>
        <v>3.676561635</v>
      </c>
      <c r="G15" s="4">
        <f t="shared" si="1"/>
        <v>10.009802</v>
      </c>
      <c r="H15" s="4">
        <f t="shared" si="2"/>
        <v>17.36292527</v>
      </c>
    </row>
    <row r="16">
      <c r="A16" s="5" t="s">
        <v>22</v>
      </c>
      <c r="B16" s="4">
        <f>COUNTIF('Form Responses 1'!B:B, A16)</f>
        <v>0</v>
      </c>
      <c r="C16" s="4" t="str">
        <f>IFERROR(__xludf.DUMMYFUNCTION("MIN(FILTER('Form Responses 1'!C:C, 'Form Responses 1'!B:B=A16))"),"#N/A")</f>
        <v>#N/A</v>
      </c>
      <c r="D16" s="4" t="str">
        <f>AVERAGEIF('Form Responses 1'!B:B, A16, 'Form Responses 1'!C:C)</f>
        <v>#DIV/0!</v>
      </c>
      <c r="E16" s="4" t="str">
        <f>IFERROR(__xludf.DUMMYFUNCTION("MAX(FILTER('Form Responses 1'!C:C, 'Form Responses 1'!B:B=A16))"),"#N/A")</f>
        <v>#N/A</v>
      </c>
      <c r="F16" s="4" t="str">
        <f>IFERROR(__xludf.DUMMYFUNCTION("STDEV(FILTER('Form Responses 1'!C:C, 'Form Responses 1'!B:B=A16))"),"#N/A")</f>
        <v>#N/A</v>
      </c>
      <c r="G16" s="4" t="str">
        <f t="shared" si="1"/>
        <v>#DIV/0!</v>
      </c>
      <c r="H16" s="4" t="str">
        <f t="shared" si="2"/>
        <v>#DIV/0!</v>
      </c>
    </row>
    <row r="17">
      <c r="A17" s="5" t="s">
        <v>23</v>
      </c>
      <c r="B17" s="4">
        <f>COUNTIF('Form Responses 1'!B:B, A17)</f>
        <v>4</v>
      </c>
      <c r="C17" s="4">
        <f>IFERROR(__xludf.DUMMYFUNCTION("MIN(FILTER('Form Responses 1'!C:C, 'Form Responses 1'!B:B=A17))"),13.3)</f>
        <v>13.3</v>
      </c>
      <c r="D17" s="4">
        <f>AVERAGEIF('Form Responses 1'!B:B, A17, 'Form Responses 1'!C:C)</f>
        <v>14.805</v>
      </c>
      <c r="E17" s="4">
        <f>IFERROR(__xludf.DUMMYFUNCTION("MAX(FILTER('Form Responses 1'!C:C, 'Form Responses 1'!B:B=A17))"),16.54)</f>
        <v>16.54</v>
      </c>
      <c r="F17" s="4">
        <f>IFERROR(__xludf.DUMMYFUNCTION("STDEV(FILTER('Form Responses 1'!C:C, 'Form Responses 1'!B:B=A17))"),1.3532553343696818)</f>
        <v>1.353255334</v>
      </c>
      <c r="G17" s="4">
        <f t="shared" si="1"/>
        <v>13.45174467</v>
      </c>
      <c r="H17" s="4">
        <f t="shared" si="2"/>
        <v>16.15825533</v>
      </c>
    </row>
    <row r="18">
      <c r="A18" s="5" t="s">
        <v>24</v>
      </c>
      <c r="B18" s="4">
        <f>COUNTIF('Form Responses 1'!B:B, A18)</f>
        <v>0</v>
      </c>
      <c r="C18" s="4" t="str">
        <f>IFERROR(__xludf.DUMMYFUNCTION("MIN(FILTER('Form Responses 1'!C:C, 'Form Responses 1'!B:B=A18))"),"#N/A")</f>
        <v>#N/A</v>
      </c>
      <c r="D18" s="4" t="str">
        <f>AVERAGEIF('Form Responses 1'!B:B, A18, 'Form Responses 1'!C:C)</f>
        <v>#DIV/0!</v>
      </c>
      <c r="E18" s="4" t="str">
        <f>IFERROR(__xludf.DUMMYFUNCTION("MAX(FILTER('Form Responses 1'!C:C, 'Form Responses 1'!B:B=A18))"),"#N/A")</f>
        <v>#N/A</v>
      </c>
      <c r="F18" s="4" t="str">
        <f>IFERROR(__xludf.DUMMYFUNCTION("STDEV(FILTER('Form Responses 1'!C:C, 'Form Responses 1'!B:B=A18))"),"#N/A")</f>
        <v>#N/A</v>
      </c>
      <c r="G18" s="4" t="str">
        <f t="shared" si="1"/>
        <v>#DIV/0!</v>
      </c>
      <c r="H18" s="4" t="str">
        <f t="shared" si="2"/>
        <v>#DIV/0!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9" width="18.88"/>
  </cols>
  <sheetData>
    <row r="1" ht="22.5" customHeight="1">
      <c r="A1" s="6" t="s">
        <v>25</v>
      </c>
      <c r="B1" s="6" t="s">
        <v>26</v>
      </c>
      <c r="C1" s="6" t="s">
        <v>27</v>
      </c>
    </row>
    <row r="2" ht="22.5" customHeight="1">
      <c r="A2" s="7">
        <v>45826.57634778935</v>
      </c>
      <c r="B2" s="8" t="s">
        <v>9</v>
      </c>
      <c r="C2" s="8">
        <v>7.0</v>
      </c>
    </row>
    <row r="3" ht="22.5" customHeight="1">
      <c r="A3" s="9">
        <v>45829.49717570602</v>
      </c>
      <c r="B3" s="10" t="s">
        <v>14</v>
      </c>
      <c r="C3" s="10">
        <v>5.45</v>
      </c>
    </row>
    <row r="4" ht="22.5" customHeight="1">
      <c r="A4" s="9">
        <v>45829.510038078704</v>
      </c>
      <c r="B4" s="10" t="s">
        <v>21</v>
      </c>
      <c r="C4" s="10">
        <v>9.1</v>
      </c>
    </row>
    <row r="5" ht="22.5" customHeight="1">
      <c r="A5" s="9">
        <v>45829.515875428246</v>
      </c>
      <c r="B5" s="10" t="s">
        <v>9</v>
      </c>
      <c r="C5" s="10">
        <v>6.25</v>
      </c>
    </row>
    <row r="6" ht="22.5" customHeight="1">
      <c r="A6" s="9">
        <v>45829.521153344904</v>
      </c>
      <c r="B6" s="10" t="s">
        <v>9</v>
      </c>
      <c r="C6" s="10">
        <v>7.08</v>
      </c>
    </row>
    <row r="7" ht="22.5" customHeight="1">
      <c r="A7" s="9">
        <v>45829.53051834491</v>
      </c>
      <c r="B7" s="10" t="s">
        <v>9</v>
      </c>
      <c r="C7" s="10">
        <v>9.4</v>
      </c>
    </row>
    <row r="8" ht="22.5" customHeight="1">
      <c r="A8" s="9">
        <v>45829.54108873842</v>
      </c>
      <c r="B8" s="10" t="s">
        <v>9</v>
      </c>
      <c r="C8" s="10">
        <v>10.2</v>
      </c>
    </row>
    <row r="9" ht="22.5" customHeight="1">
      <c r="A9" s="9">
        <v>45829.55508388889</v>
      </c>
      <c r="B9" s="10" t="s">
        <v>9</v>
      </c>
      <c r="C9" s="10">
        <v>9.83</v>
      </c>
    </row>
    <row r="10" ht="22.5" customHeight="1">
      <c r="A10" s="9">
        <v>45829.562860266204</v>
      </c>
      <c r="B10" s="10" t="s">
        <v>9</v>
      </c>
      <c r="C10" s="10">
        <v>8.36</v>
      </c>
    </row>
    <row r="11" ht="22.5" customHeight="1">
      <c r="A11" s="9">
        <v>45829.57585025463</v>
      </c>
      <c r="B11" s="10" t="s">
        <v>9</v>
      </c>
      <c r="C11" s="10">
        <v>9.1</v>
      </c>
    </row>
    <row r="12" ht="22.5" customHeight="1">
      <c r="A12" s="9">
        <v>45829.58010561342</v>
      </c>
      <c r="B12" s="10" t="s">
        <v>13</v>
      </c>
      <c r="C12" s="10">
        <v>4.3</v>
      </c>
    </row>
    <row r="13" ht="22.5" customHeight="1">
      <c r="A13" s="9">
        <v>45829.58545875</v>
      </c>
      <c r="B13" s="10" t="s">
        <v>13</v>
      </c>
      <c r="C13" s="10">
        <v>2.85</v>
      </c>
    </row>
    <row r="14" ht="22.5" customHeight="1">
      <c r="A14" s="9">
        <v>45829.59201789352</v>
      </c>
      <c r="B14" s="10" t="s">
        <v>13</v>
      </c>
      <c r="C14" s="10">
        <v>4.9</v>
      </c>
    </row>
    <row r="15" ht="22.5" customHeight="1">
      <c r="A15" s="9">
        <v>45829.598900972225</v>
      </c>
      <c r="B15" s="10" t="s">
        <v>13</v>
      </c>
      <c r="C15" s="10">
        <v>5.8</v>
      </c>
    </row>
    <row r="16" ht="22.5" customHeight="1">
      <c r="A16" s="9">
        <v>45829.603906793986</v>
      </c>
      <c r="B16" s="10" t="s">
        <v>13</v>
      </c>
      <c r="C16" s="10">
        <v>5.0</v>
      </c>
    </row>
    <row r="17" ht="22.5" customHeight="1">
      <c r="A17" s="9">
        <v>45829.61043315972</v>
      </c>
      <c r="B17" s="10" t="s">
        <v>13</v>
      </c>
      <c r="C17" s="10">
        <v>5.1</v>
      </c>
    </row>
    <row r="18" ht="22.5" customHeight="1">
      <c r="A18" s="9">
        <v>45833.48905210648</v>
      </c>
      <c r="B18" s="10" t="s">
        <v>23</v>
      </c>
      <c r="C18" s="10">
        <v>13.3</v>
      </c>
    </row>
    <row r="19" ht="22.5" customHeight="1">
      <c r="A19" s="9">
        <v>45833.500803159724</v>
      </c>
      <c r="B19" s="10" t="s">
        <v>19</v>
      </c>
      <c r="C19" s="10">
        <v>10.6</v>
      </c>
    </row>
    <row r="20" ht="22.5" customHeight="1">
      <c r="A20" s="9">
        <v>45833.518719988424</v>
      </c>
      <c r="B20" s="10" t="s">
        <v>14</v>
      </c>
      <c r="C20" s="10">
        <v>6.0</v>
      </c>
    </row>
    <row r="21" ht="22.5" customHeight="1">
      <c r="A21" s="9">
        <v>45833.52319111111</v>
      </c>
      <c r="B21" s="10" t="s">
        <v>21</v>
      </c>
      <c r="C21" s="10">
        <v>15.4</v>
      </c>
    </row>
    <row r="22" ht="22.5" customHeight="1">
      <c r="A22" s="9">
        <v>45833.5296841088</v>
      </c>
      <c r="B22" s="10" t="s">
        <v>18</v>
      </c>
      <c r="C22" s="10">
        <v>2.73</v>
      </c>
    </row>
    <row r="23" ht="22.5" customHeight="1">
      <c r="A23" s="9">
        <v>45833.53228400463</v>
      </c>
      <c r="B23" s="10" t="s">
        <v>18</v>
      </c>
      <c r="C23" s="10">
        <v>1.5</v>
      </c>
    </row>
    <row r="24" ht="22.5" customHeight="1">
      <c r="A24" s="9">
        <v>45833.54044545139</v>
      </c>
      <c r="B24" s="10" t="s">
        <v>13</v>
      </c>
      <c r="C24" s="10">
        <v>7.8</v>
      </c>
    </row>
    <row r="25" ht="22.5" customHeight="1">
      <c r="A25" s="9">
        <v>45833.546558055554</v>
      </c>
      <c r="B25" s="10" t="s">
        <v>13</v>
      </c>
      <c r="C25" s="10">
        <v>8.44</v>
      </c>
    </row>
    <row r="26" ht="22.5" customHeight="1">
      <c r="A26" s="9">
        <v>45833.55229122685</v>
      </c>
      <c r="B26" s="10" t="s">
        <v>13</v>
      </c>
      <c r="C26" s="10">
        <v>8.8</v>
      </c>
    </row>
    <row r="27" ht="22.5" customHeight="1">
      <c r="A27" s="9">
        <v>45833.55829861111</v>
      </c>
      <c r="B27" s="10" t="s">
        <v>13</v>
      </c>
      <c r="C27" s="10">
        <v>9.0</v>
      </c>
    </row>
    <row r="28" ht="22.5" customHeight="1">
      <c r="A28" s="9">
        <v>45833.56361892361</v>
      </c>
      <c r="B28" s="10" t="s">
        <v>13</v>
      </c>
      <c r="C28" s="10">
        <v>5.72</v>
      </c>
    </row>
    <row r="29" ht="22.5" customHeight="1">
      <c r="A29" s="9">
        <v>45840.47270734954</v>
      </c>
      <c r="B29" s="10" t="s">
        <v>15</v>
      </c>
      <c r="C29" s="10">
        <v>1.5</v>
      </c>
    </row>
    <row r="30" ht="22.5" customHeight="1">
      <c r="A30" s="9">
        <v>45840.482711122684</v>
      </c>
      <c r="B30" s="10" t="s">
        <v>10</v>
      </c>
      <c r="C30" s="10">
        <v>4.0</v>
      </c>
    </row>
    <row r="31" ht="22.5" customHeight="1">
      <c r="A31" s="9">
        <v>45840.48284708333</v>
      </c>
      <c r="B31" s="10" t="s">
        <v>10</v>
      </c>
      <c r="C31" s="10">
        <v>4.0</v>
      </c>
    </row>
    <row r="32" ht="22.5" customHeight="1">
      <c r="A32" s="9">
        <v>45840.48801475695</v>
      </c>
      <c r="B32" s="10" t="s">
        <v>10</v>
      </c>
      <c r="C32" s="10">
        <v>4.0</v>
      </c>
    </row>
    <row r="33" ht="22.5" customHeight="1">
      <c r="A33" s="9">
        <v>45840.496489363424</v>
      </c>
      <c r="B33" s="10" t="s">
        <v>10</v>
      </c>
      <c r="C33" s="10">
        <v>4.45</v>
      </c>
    </row>
    <row r="34" ht="22.5" customHeight="1">
      <c r="A34" s="9">
        <v>45840.496568773146</v>
      </c>
      <c r="B34" s="10" t="s">
        <v>10</v>
      </c>
      <c r="C34" s="10">
        <v>3.5</v>
      </c>
    </row>
    <row r="35" ht="22.5" customHeight="1">
      <c r="A35" s="9">
        <v>45840.50260692129</v>
      </c>
      <c r="B35" s="10" t="s">
        <v>10</v>
      </c>
      <c r="C35" s="10">
        <v>2.8</v>
      </c>
    </row>
    <row r="36" ht="22.5" customHeight="1">
      <c r="A36" s="9">
        <v>45868.452868148146</v>
      </c>
      <c r="B36" s="10" t="s">
        <v>21</v>
      </c>
      <c r="C36" s="10">
        <v>13.05</v>
      </c>
    </row>
    <row r="37" ht="22.5" customHeight="1">
      <c r="A37" s="9">
        <v>45868.45827138889</v>
      </c>
      <c r="B37" s="10" t="s">
        <v>15</v>
      </c>
      <c r="C37" s="10">
        <v>8.21</v>
      </c>
    </row>
    <row r="38" ht="22.5" customHeight="1">
      <c r="A38" s="9">
        <v>45868.463119340275</v>
      </c>
      <c r="B38" s="10" t="s">
        <v>15</v>
      </c>
      <c r="C38" s="10">
        <v>8.71</v>
      </c>
    </row>
    <row r="39" ht="22.5" customHeight="1">
      <c r="A39" s="9">
        <v>45868.47812035879</v>
      </c>
      <c r="B39" s="10" t="s">
        <v>14</v>
      </c>
      <c r="C39" s="10">
        <v>9.31</v>
      </c>
    </row>
    <row r="40" ht="22.5" customHeight="1">
      <c r="A40" s="9">
        <v>45868.4814466088</v>
      </c>
      <c r="B40" s="10" t="s">
        <v>14</v>
      </c>
      <c r="C40" s="10">
        <v>8.88</v>
      </c>
    </row>
    <row r="41" ht="22.5" customHeight="1">
      <c r="A41" s="9">
        <v>45868.49009173611</v>
      </c>
      <c r="B41" s="10" t="s">
        <v>8</v>
      </c>
      <c r="C41" s="10">
        <v>3.45</v>
      </c>
    </row>
    <row r="42" ht="22.5" customHeight="1">
      <c r="A42" s="9">
        <v>45868.49334584491</v>
      </c>
      <c r="B42" s="10" t="s">
        <v>8</v>
      </c>
      <c r="C42" s="10">
        <v>4.37</v>
      </c>
    </row>
    <row r="43" ht="22.5" customHeight="1">
      <c r="A43" s="9">
        <v>45868.49518185185</v>
      </c>
      <c r="B43" s="10" t="s">
        <v>8</v>
      </c>
      <c r="C43" s="10">
        <v>3.7</v>
      </c>
    </row>
    <row r="44" ht="22.5" customHeight="1">
      <c r="A44" s="9">
        <v>45868.496629490735</v>
      </c>
      <c r="B44" s="10" t="s">
        <v>8</v>
      </c>
      <c r="C44" s="10">
        <v>3.14</v>
      </c>
    </row>
    <row r="45" ht="22.5" customHeight="1">
      <c r="A45" s="9">
        <v>45868.51482949074</v>
      </c>
      <c r="B45" s="10" t="s">
        <v>13</v>
      </c>
      <c r="C45" s="10">
        <v>9.42</v>
      </c>
    </row>
    <row r="46" ht="22.5" customHeight="1">
      <c r="A46" s="9">
        <v>45868.51724678241</v>
      </c>
      <c r="B46" s="10" t="s">
        <v>13</v>
      </c>
      <c r="C46" s="10">
        <v>9.6</v>
      </c>
    </row>
    <row r="47" ht="22.5" customHeight="1">
      <c r="A47" s="9">
        <v>45868.51967721064</v>
      </c>
      <c r="B47" s="10" t="s">
        <v>13</v>
      </c>
      <c r="C47" s="10">
        <v>9.91</v>
      </c>
    </row>
    <row r="48" ht="22.5" customHeight="1">
      <c r="A48" s="9">
        <v>45868.52233385417</v>
      </c>
      <c r="B48" s="10" t="s">
        <v>13</v>
      </c>
      <c r="C48" s="10">
        <v>9.27</v>
      </c>
    </row>
    <row r="49" ht="22.5" customHeight="1">
      <c r="A49" s="9">
        <v>45868.533504120365</v>
      </c>
      <c r="B49" s="10" t="s">
        <v>9</v>
      </c>
      <c r="C49" s="10">
        <v>5.8</v>
      </c>
    </row>
    <row r="50" ht="22.5" customHeight="1">
      <c r="A50" s="9">
        <v>45868.53542796297</v>
      </c>
      <c r="B50" s="10" t="s">
        <v>9</v>
      </c>
      <c r="C50" s="10">
        <v>9.42</v>
      </c>
    </row>
    <row r="51" ht="22.5" customHeight="1">
      <c r="A51" s="9">
        <v>45875.555502557865</v>
      </c>
      <c r="B51" s="10" t="s">
        <v>14</v>
      </c>
      <c r="C51" s="10">
        <v>7.43</v>
      </c>
    </row>
    <row r="52" ht="22.5" customHeight="1">
      <c r="A52" s="9">
        <v>45875.5556042824</v>
      </c>
      <c r="B52" s="10" t="s">
        <v>14</v>
      </c>
      <c r="C52" s="10">
        <v>6.41</v>
      </c>
    </row>
    <row r="53" ht="22.5" customHeight="1">
      <c r="A53" s="9">
        <v>45875.55574513889</v>
      </c>
      <c r="B53" s="10" t="s">
        <v>19</v>
      </c>
      <c r="C53" s="10">
        <v>9.44</v>
      </c>
    </row>
    <row r="54" ht="22.5" customHeight="1">
      <c r="A54" s="9">
        <v>45875.555841249996</v>
      </c>
      <c r="B54" s="10" t="s">
        <v>19</v>
      </c>
      <c r="C54" s="10">
        <v>11.76</v>
      </c>
    </row>
    <row r="55" ht="22.5" customHeight="1">
      <c r="A55" s="9">
        <v>45875.5559672338</v>
      </c>
      <c r="B55" s="10" t="s">
        <v>8</v>
      </c>
      <c r="C55" s="10">
        <v>4.3</v>
      </c>
    </row>
    <row r="56" ht="22.5" customHeight="1">
      <c r="A56" s="9">
        <v>45875.55606130787</v>
      </c>
      <c r="B56" s="10" t="s">
        <v>8</v>
      </c>
      <c r="C56" s="10">
        <v>3.7</v>
      </c>
    </row>
    <row r="57" ht="22.5" customHeight="1">
      <c r="A57" s="9">
        <v>45875.55617575231</v>
      </c>
      <c r="B57" s="10" t="s">
        <v>8</v>
      </c>
      <c r="C57" s="10">
        <v>4.43</v>
      </c>
    </row>
    <row r="58" ht="22.5" customHeight="1">
      <c r="A58" s="9">
        <v>45875.55628103009</v>
      </c>
      <c r="B58" s="10" t="s">
        <v>8</v>
      </c>
      <c r="C58" s="10">
        <v>3.61</v>
      </c>
    </row>
    <row r="59" ht="22.5" customHeight="1">
      <c r="A59" s="9">
        <v>45875.556452743054</v>
      </c>
      <c r="B59" s="10" t="s">
        <v>23</v>
      </c>
      <c r="C59" s="10">
        <v>14.38</v>
      </c>
    </row>
    <row r="60" ht="22.5" customHeight="1">
      <c r="A60" s="9">
        <v>45875.556554317125</v>
      </c>
      <c r="B60" s="10" t="s">
        <v>9</v>
      </c>
      <c r="C60" s="10">
        <v>6.57</v>
      </c>
    </row>
    <row r="61" ht="22.5" customHeight="1">
      <c r="A61" s="9">
        <v>45875.55664461806</v>
      </c>
      <c r="B61" s="10" t="s">
        <v>9</v>
      </c>
      <c r="C61" s="10">
        <v>8.26</v>
      </c>
    </row>
    <row r="62" ht="22.5" customHeight="1">
      <c r="A62" s="9">
        <v>45875.55678171296</v>
      </c>
      <c r="B62" s="10" t="s">
        <v>9</v>
      </c>
      <c r="C62" s="10">
        <v>7.61</v>
      </c>
    </row>
    <row r="63" ht="22.5" customHeight="1">
      <c r="A63" s="9">
        <v>45875.55692700231</v>
      </c>
      <c r="B63" s="10" t="s">
        <v>11</v>
      </c>
      <c r="C63" s="10">
        <v>2.28</v>
      </c>
    </row>
    <row r="64" ht="22.5" customHeight="1">
      <c r="A64" s="9">
        <v>45875.55702439815</v>
      </c>
      <c r="B64" s="10" t="s">
        <v>11</v>
      </c>
      <c r="C64" s="10">
        <v>2.29</v>
      </c>
    </row>
    <row r="65" ht="22.5" customHeight="1">
      <c r="A65" s="9">
        <v>45875.5571084375</v>
      </c>
      <c r="B65" s="10" t="s">
        <v>11</v>
      </c>
      <c r="C65" s="10">
        <v>2.35</v>
      </c>
    </row>
    <row r="66" ht="22.5" customHeight="1">
      <c r="A66" s="9">
        <v>45875.55728862269</v>
      </c>
      <c r="B66" s="10" t="s">
        <v>13</v>
      </c>
      <c r="C66" s="10">
        <v>9.81</v>
      </c>
    </row>
    <row r="67" ht="22.5" customHeight="1">
      <c r="A67" s="9">
        <v>45875.55737621528</v>
      </c>
      <c r="B67" s="10" t="s">
        <v>13</v>
      </c>
      <c r="C67" s="10">
        <v>9.21</v>
      </c>
    </row>
    <row r="68" ht="22.5" customHeight="1">
      <c r="A68" s="9">
        <v>45875.55747185185</v>
      </c>
      <c r="B68" s="10" t="s">
        <v>13</v>
      </c>
      <c r="C68" s="10">
        <v>10.63</v>
      </c>
    </row>
    <row r="69" ht="22.5" customHeight="1">
      <c r="A69" s="9">
        <v>45875.557585393515</v>
      </c>
      <c r="B69" s="10" t="s">
        <v>13</v>
      </c>
      <c r="C69" s="10">
        <v>7.89</v>
      </c>
    </row>
    <row r="70" ht="22.5" customHeight="1">
      <c r="A70" s="9">
        <v>45882.448883819445</v>
      </c>
      <c r="B70" s="10" t="s">
        <v>19</v>
      </c>
      <c r="C70" s="10">
        <v>7.17</v>
      </c>
    </row>
    <row r="71" ht="22.5" customHeight="1">
      <c r="A71" s="9">
        <v>45882.45088604167</v>
      </c>
      <c r="B71" s="10" t="s">
        <v>19</v>
      </c>
      <c r="C71" s="10">
        <v>5.34</v>
      </c>
    </row>
    <row r="72" ht="22.5" customHeight="1">
      <c r="A72" s="9">
        <v>45882.45545959491</v>
      </c>
      <c r="B72" s="10" t="s">
        <v>21</v>
      </c>
      <c r="C72" s="10">
        <v>17.9</v>
      </c>
    </row>
    <row r="73" ht="22.5" customHeight="1">
      <c r="A73" s="9">
        <v>45882.46301952546</v>
      </c>
      <c r="B73" s="10" t="s">
        <v>14</v>
      </c>
      <c r="C73" s="10">
        <v>9.63</v>
      </c>
    </row>
    <row r="74" ht="22.5" customHeight="1">
      <c r="A74" s="9">
        <v>45882.46313708334</v>
      </c>
      <c r="B74" s="10" t="s">
        <v>14</v>
      </c>
      <c r="C74" s="10">
        <v>10.47</v>
      </c>
    </row>
    <row r="75" ht="22.5" customHeight="1">
      <c r="A75" s="9">
        <v>45882.4762887963</v>
      </c>
      <c r="B75" s="10" t="s">
        <v>23</v>
      </c>
      <c r="C75" s="10">
        <v>15.0</v>
      </c>
    </row>
    <row r="76" ht="22.5" customHeight="1">
      <c r="A76" s="9">
        <v>45882.48540293981</v>
      </c>
      <c r="B76" s="10" t="s">
        <v>9</v>
      </c>
      <c r="C76" s="10">
        <v>7.57</v>
      </c>
    </row>
    <row r="77" ht="22.5" customHeight="1">
      <c r="A77" s="9">
        <v>45882.48551890046</v>
      </c>
      <c r="B77" s="10" t="s">
        <v>9</v>
      </c>
      <c r="C77" s="10">
        <v>8.62</v>
      </c>
    </row>
    <row r="78" ht="22.5" customHeight="1">
      <c r="A78" s="9">
        <v>45882.48559467593</v>
      </c>
      <c r="B78" s="10" t="s">
        <v>9</v>
      </c>
      <c r="C78" s="10">
        <v>8.6</v>
      </c>
    </row>
    <row r="79" ht="22.5" customHeight="1">
      <c r="A79" s="9">
        <v>45882.531679050924</v>
      </c>
      <c r="B79" s="10" t="s">
        <v>10</v>
      </c>
      <c r="C79" s="10">
        <v>2.18</v>
      </c>
    </row>
    <row r="80" ht="22.5" customHeight="1">
      <c r="A80" s="9">
        <v>45882.53178243055</v>
      </c>
      <c r="B80" s="10" t="s">
        <v>10</v>
      </c>
      <c r="C80" s="10">
        <v>2.5</v>
      </c>
    </row>
    <row r="81" ht="22.5" customHeight="1">
      <c r="A81" s="9">
        <v>45882.53186829861</v>
      </c>
      <c r="B81" s="10" t="s">
        <v>10</v>
      </c>
      <c r="C81" s="10">
        <v>1.11</v>
      </c>
    </row>
    <row r="82" ht="22.5" customHeight="1">
      <c r="A82" s="9">
        <v>45882.53197616898</v>
      </c>
      <c r="B82" s="10" t="s">
        <v>10</v>
      </c>
      <c r="C82" s="10">
        <v>2.67</v>
      </c>
    </row>
    <row r="83" ht="22.5" customHeight="1">
      <c r="A83" s="9">
        <v>45882.5320640625</v>
      </c>
      <c r="B83" s="10" t="s">
        <v>10</v>
      </c>
      <c r="C83" s="10">
        <v>1.48</v>
      </c>
    </row>
    <row r="84" ht="22.5" customHeight="1">
      <c r="A84" s="9">
        <v>45882.53216123843</v>
      </c>
      <c r="B84" s="10" t="s">
        <v>11</v>
      </c>
      <c r="C84" s="10">
        <v>2.67</v>
      </c>
    </row>
    <row r="85" ht="22.5" customHeight="1">
      <c r="A85" s="9">
        <v>45882.53224259259</v>
      </c>
      <c r="B85" s="10" t="s">
        <v>11</v>
      </c>
      <c r="C85" s="10">
        <v>2.5</v>
      </c>
    </row>
    <row r="86" ht="22.5" customHeight="1">
      <c r="A86" s="9">
        <v>45882.53233313657</v>
      </c>
      <c r="B86" s="10" t="s">
        <v>11</v>
      </c>
      <c r="C86" s="10">
        <v>3.71</v>
      </c>
    </row>
    <row r="87" ht="22.5" customHeight="1">
      <c r="A87" s="9">
        <v>45882.532407453706</v>
      </c>
      <c r="B87" s="10" t="s">
        <v>11</v>
      </c>
      <c r="C87" s="10">
        <v>3.7</v>
      </c>
    </row>
    <row r="88" ht="22.5" customHeight="1">
      <c r="A88" s="9">
        <v>45882.53249413194</v>
      </c>
      <c r="B88" s="10" t="s">
        <v>11</v>
      </c>
      <c r="C88" s="10">
        <v>3.07</v>
      </c>
    </row>
    <row r="89" ht="22.5" customHeight="1">
      <c r="A89" s="9">
        <v>45882.53257378472</v>
      </c>
      <c r="B89" s="10" t="s">
        <v>11</v>
      </c>
      <c r="C89" s="10">
        <v>3.12</v>
      </c>
    </row>
    <row r="90" ht="22.5" customHeight="1">
      <c r="A90" s="9">
        <v>45882.53269565973</v>
      </c>
      <c r="B90" s="10" t="s">
        <v>13</v>
      </c>
      <c r="C90" s="10">
        <v>7.62</v>
      </c>
    </row>
    <row r="91" ht="22.5" customHeight="1">
      <c r="A91" s="9">
        <v>45882.5327994213</v>
      </c>
      <c r="B91" s="10" t="s">
        <v>13</v>
      </c>
      <c r="C91" s="10">
        <v>9.82</v>
      </c>
    </row>
    <row r="92" ht="22.5" customHeight="1">
      <c r="A92" s="9">
        <v>45882.53289446759</v>
      </c>
      <c r="B92" s="10" t="s">
        <v>13</v>
      </c>
      <c r="C92" s="10">
        <v>11.48</v>
      </c>
    </row>
    <row r="93" ht="22.5" customHeight="1">
      <c r="A93" s="9">
        <v>45882.53299662037</v>
      </c>
      <c r="B93" s="10" t="s">
        <v>13</v>
      </c>
      <c r="C93" s="10">
        <v>8.46</v>
      </c>
    </row>
    <row r="94" ht="22.5" customHeight="1">
      <c r="A94" s="9">
        <v>45882.533365868054</v>
      </c>
      <c r="B94" s="10" t="s">
        <v>8</v>
      </c>
      <c r="C94" s="10">
        <v>6.42</v>
      </c>
    </row>
    <row r="95" ht="22.5" customHeight="1">
      <c r="A95" s="9">
        <v>45882.533469120375</v>
      </c>
      <c r="B95" s="10" t="s">
        <v>8</v>
      </c>
      <c r="C95" s="10">
        <v>5.82</v>
      </c>
    </row>
    <row r="96" ht="22.5" customHeight="1">
      <c r="A96" s="9">
        <v>45882.53356221065</v>
      </c>
      <c r="B96" s="10" t="s">
        <v>8</v>
      </c>
      <c r="C96" s="10">
        <v>6.5</v>
      </c>
    </row>
    <row r="97" ht="22.5" customHeight="1">
      <c r="A97" s="9">
        <v>45882.53365758102</v>
      </c>
      <c r="B97" s="10" t="s">
        <v>8</v>
      </c>
      <c r="C97" s="10">
        <v>5.38</v>
      </c>
    </row>
    <row r="98" ht="22.5" customHeight="1">
      <c r="A98" s="9">
        <v>45882.5337565625</v>
      </c>
      <c r="B98" s="10" t="s">
        <v>18</v>
      </c>
      <c r="C98" s="10">
        <v>3.3</v>
      </c>
    </row>
    <row r="99" ht="22.5" customHeight="1">
      <c r="A99" s="9">
        <v>45882.533910659724</v>
      </c>
      <c r="B99" s="10" t="s">
        <v>18</v>
      </c>
      <c r="C99" s="10">
        <v>3.67</v>
      </c>
    </row>
    <row r="100" ht="22.5" customHeight="1">
      <c r="A100" s="9">
        <v>45882.53401282408</v>
      </c>
      <c r="B100" s="10" t="s">
        <v>18</v>
      </c>
      <c r="C100" s="10">
        <v>3.58</v>
      </c>
    </row>
    <row r="101" ht="22.5" customHeight="1">
      <c r="A101" s="9">
        <v>45882.53409137731</v>
      </c>
      <c r="B101" s="10" t="s">
        <v>18</v>
      </c>
      <c r="C101" s="10">
        <v>3.5</v>
      </c>
    </row>
    <row r="102" ht="22.5" customHeight="1">
      <c r="A102" s="9">
        <v>45882.53418787037</v>
      </c>
      <c r="B102" s="10" t="s">
        <v>18</v>
      </c>
      <c r="C102" s="10">
        <v>3.25</v>
      </c>
    </row>
    <row r="103" ht="22.5" customHeight="1">
      <c r="A103" s="9">
        <v>45889.56633398148</v>
      </c>
      <c r="B103" s="10" t="s">
        <v>8</v>
      </c>
      <c r="C103" s="10">
        <v>4.93</v>
      </c>
    </row>
    <row r="104" ht="22.5" customHeight="1">
      <c r="A104" s="9">
        <v>45889.5665291551</v>
      </c>
      <c r="B104" s="10" t="s">
        <v>8</v>
      </c>
      <c r="C104" s="10">
        <v>5.52</v>
      </c>
    </row>
    <row r="105" ht="22.5" customHeight="1">
      <c r="A105" s="9">
        <v>45889.56661826389</v>
      </c>
      <c r="B105" s="10" t="s">
        <v>8</v>
      </c>
      <c r="C105" s="10">
        <v>5.52</v>
      </c>
    </row>
    <row r="106" ht="22.5" customHeight="1">
      <c r="A106" s="9">
        <v>45889.56673684028</v>
      </c>
      <c r="B106" s="10" t="s">
        <v>9</v>
      </c>
      <c r="C106" s="10">
        <v>8.68</v>
      </c>
    </row>
    <row r="107" ht="22.5" customHeight="1">
      <c r="A107" s="9">
        <v>45889.56689261574</v>
      </c>
      <c r="B107" s="10" t="s">
        <v>9</v>
      </c>
      <c r="C107" s="10">
        <v>8.15</v>
      </c>
    </row>
    <row r="108" ht="22.5" customHeight="1">
      <c r="A108" s="9">
        <v>45889.566971099535</v>
      </c>
      <c r="B108" s="10" t="s">
        <v>9</v>
      </c>
      <c r="C108" s="10">
        <v>9.0</v>
      </c>
    </row>
    <row r="109" ht="22.5" customHeight="1">
      <c r="A109" s="9">
        <v>45889.56705884259</v>
      </c>
      <c r="B109" s="10" t="s">
        <v>9</v>
      </c>
      <c r="C109" s="10">
        <v>7.16</v>
      </c>
    </row>
    <row r="110" ht="22.5" customHeight="1">
      <c r="A110" s="9">
        <v>45889.56724520834</v>
      </c>
      <c r="B110" s="10" t="s">
        <v>14</v>
      </c>
      <c r="C110" s="10">
        <v>5.84</v>
      </c>
    </row>
    <row r="111" ht="22.5" customHeight="1">
      <c r="A111" s="9">
        <v>45889.56733277778</v>
      </c>
      <c r="B111" s="10" t="s">
        <v>14</v>
      </c>
      <c r="C111" s="10">
        <v>7.1</v>
      </c>
    </row>
    <row r="112" ht="22.5" customHeight="1">
      <c r="A112" s="9">
        <v>45889.56744515046</v>
      </c>
      <c r="B112" s="10" t="s">
        <v>14</v>
      </c>
      <c r="C112" s="10">
        <v>7.04</v>
      </c>
    </row>
    <row r="113" ht="22.5" customHeight="1">
      <c r="A113" s="9">
        <v>45889.56754253472</v>
      </c>
      <c r="B113" s="10" t="s">
        <v>14</v>
      </c>
      <c r="C113" s="10">
        <v>7.93</v>
      </c>
    </row>
    <row r="114" ht="22.5" customHeight="1">
      <c r="A114" s="9">
        <v>45889.56762857639</v>
      </c>
      <c r="B114" s="10" t="s">
        <v>14</v>
      </c>
      <c r="C114" s="10">
        <v>7.35</v>
      </c>
    </row>
    <row r="115" ht="22.5" customHeight="1">
      <c r="A115" s="9">
        <v>45889.56774971065</v>
      </c>
      <c r="B115" s="10" t="s">
        <v>13</v>
      </c>
      <c r="C115" s="10">
        <v>7.72</v>
      </c>
    </row>
    <row r="116" ht="22.5" customHeight="1">
      <c r="A116" s="9">
        <v>45889.56786106482</v>
      </c>
      <c r="B116" s="10" t="s">
        <v>13</v>
      </c>
      <c r="C116" s="10">
        <v>7.83</v>
      </c>
    </row>
    <row r="117" ht="22.5" customHeight="1">
      <c r="A117" s="9">
        <v>45889.56794454861</v>
      </c>
      <c r="B117" s="10" t="s">
        <v>13</v>
      </c>
      <c r="C117" s="10">
        <v>7.2</v>
      </c>
    </row>
    <row r="118" ht="22.5" customHeight="1">
      <c r="A118" s="9">
        <v>45889.56806064815</v>
      </c>
      <c r="B118" s="10" t="s">
        <v>13</v>
      </c>
      <c r="C118" s="10">
        <v>7.57</v>
      </c>
    </row>
    <row r="119" ht="22.5" customHeight="1">
      <c r="A119" s="9">
        <v>45889.568157500005</v>
      </c>
      <c r="B119" s="10" t="s">
        <v>13</v>
      </c>
      <c r="C119" s="10">
        <v>7.2</v>
      </c>
    </row>
    <row r="120" ht="22.5" customHeight="1">
      <c r="A120" s="9">
        <v>45889.56827056713</v>
      </c>
      <c r="B120" s="10" t="s">
        <v>13</v>
      </c>
      <c r="C120" s="10">
        <v>8.37</v>
      </c>
    </row>
    <row r="121" ht="22.5" customHeight="1">
      <c r="A121" s="9">
        <v>45889.56835806713</v>
      </c>
      <c r="B121" s="10" t="s">
        <v>13</v>
      </c>
      <c r="C121" s="10">
        <v>6.22</v>
      </c>
    </row>
    <row r="122" ht="22.5" customHeight="1">
      <c r="A122" s="9">
        <v>45889.56847873842</v>
      </c>
      <c r="B122" s="10" t="s">
        <v>21</v>
      </c>
      <c r="C122" s="10">
        <v>8.38</v>
      </c>
    </row>
    <row r="123" ht="22.5" customHeight="1">
      <c r="A123" s="9">
        <v>45889.568614247684</v>
      </c>
      <c r="B123" s="10" t="s">
        <v>21</v>
      </c>
      <c r="C123" s="10">
        <v>11.43</v>
      </c>
    </row>
    <row r="124" ht="22.5" customHeight="1">
      <c r="A124" s="9">
        <v>45889.56874297454</v>
      </c>
      <c r="B124" s="10" t="s">
        <v>21</v>
      </c>
      <c r="C124" s="10">
        <v>10.48</v>
      </c>
    </row>
    <row r="125" ht="22.5" customHeight="1">
      <c r="A125" s="9">
        <v>45889.56885258102</v>
      </c>
      <c r="B125" s="10" t="s">
        <v>18</v>
      </c>
      <c r="C125" s="10">
        <v>1.0</v>
      </c>
    </row>
    <row r="126" ht="22.5" customHeight="1">
      <c r="A126" s="9">
        <v>45889.56896027778</v>
      </c>
      <c r="B126" s="10" t="s">
        <v>18</v>
      </c>
      <c r="C126" s="10">
        <v>1.48</v>
      </c>
    </row>
    <row r="127" ht="22.5" customHeight="1">
      <c r="A127" s="9">
        <v>45889.56906959491</v>
      </c>
      <c r="B127" s="10" t="s">
        <v>18</v>
      </c>
      <c r="C127" s="10">
        <v>2.63</v>
      </c>
    </row>
    <row r="128" ht="22.5" customHeight="1">
      <c r="A128" s="9">
        <v>45889.569205231484</v>
      </c>
      <c r="B128" s="10" t="s">
        <v>18</v>
      </c>
      <c r="C128" s="10">
        <v>1.78</v>
      </c>
    </row>
    <row r="129" ht="22.5" customHeight="1">
      <c r="A129" s="9">
        <v>45889.56931868056</v>
      </c>
      <c r="B129" s="10" t="s">
        <v>18</v>
      </c>
      <c r="C129" s="10">
        <v>1.84</v>
      </c>
    </row>
    <row r="130" ht="22.5" customHeight="1">
      <c r="A130" s="9">
        <v>45889.569413819445</v>
      </c>
      <c r="B130" s="10" t="s">
        <v>18</v>
      </c>
      <c r="C130" s="10">
        <v>2.57</v>
      </c>
    </row>
    <row r="131" ht="22.5" customHeight="1">
      <c r="A131" s="9">
        <v>45889.56950612269</v>
      </c>
      <c r="B131" s="10" t="s">
        <v>18</v>
      </c>
      <c r="C131" s="10">
        <v>1.67</v>
      </c>
    </row>
    <row r="132" ht="22.5" customHeight="1">
      <c r="A132" s="9">
        <v>45889.56959474537</v>
      </c>
      <c r="B132" s="10" t="s">
        <v>18</v>
      </c>
      <c r="C132" s="10">
        <v>1.42</v>
      </c>
    </row>
    <row r="133" ht="22.5" customHeight="1">
      <c r="A133" s="9">
        <v>45945.845680439816</v>
      </c>
      <c r="B133" s="10" t="s">
        <v>13</v>
      </c>
      <c r="C133" s="10">
        <v>15.92</v>
      </c>
    </row>
    <row r="134" ht="22.5" customHeight="1">
      <c r="A134" s="9">
        <v>45945.84578045139</v>
      </c>
      <c r="B134" s="10" t="s">
        <v>13</v>
      </c>
      <c r="C134" s="10">
        <v>12.9</v>
      </c>
    </row>
    <row r="135" ht="22.5" customHeight="1">
      <c r="A135" s="9">
        <v>45945.845929814815</v>
      </c>
      <c r="B135" s="10" t="s">
        <v>13</v>
      </c>
      <c r="C135" s="10">
        <v>12.35</v>
      </c>
    </row>
    <row r="136" ht="22.5" customHeight="1">
      <c r="A136" s="9">
        <v>45945.84604802083</v>
      </c>
      <c r="B136" s="10" t="s">
        <v>13</v>
      </c>
      <c r="C136" s="10">
        <v>8.73</v>
      </c>
    </row>
    <row r="137" ht="22.5" customHeight="1">
      <c r="A137" s="9">
        <v>45945.84618472222</v>
      </c>
      <c r="B137" s="10" t="s">
        <v>13</v>
      </c>
      <c r="C137" s="10">
        <v>11.68</v>
      </c>
    </row>
    <row r="138" ht="22.5" customHeight="1">
      <c r="A138" s="9">
        <v>45945.84628025463</v>
      </c>
      <c r="B138" s="10" t="s">
        <v>14</v>
      </c>
      <c r="C138" s="10">
        <v>13.6</v>
      </c>
    </row>
    <row r="139" ht="22.5" customHeight="1">
      <c r="A139" s="9">
        <v>45945.84650122686</v>
      </c>
      <c r="B139" s="10" t="s">
        <v>21</v>
      </c>
      <c r="C139" s="10">
        <v>13.63</v>
      </c>
    </row>
    <row r="140" ht="22.5" customHeight="1">
      <c r="A140" s="9">
        <v>45945.8466265625</v>
      </c>
      <c r="B140" s="10" t="s">
        <v>21</v>
      </c>
      <c r="C140" s="10">
        <v>15.42</v>
      </c>
    </row>
    <row r="141" ht="22.5" customHeight="1">
      <c r="A141" s="9">
        <v>45945.846796655096</v>
      </c>
      <c r="B141" s="10" t="s">
        <v>10</v>
      </c>
      <c r="C141" s="10">
        <v>4.64</v>
      </c>
    </row>
    <row r="142" ht="22.5" customHeight="1">
      <c r="A142" s="9">
        <v>45945.84690722222</v>
      </c>
      <c r="B142" s="10" t="s">
        <v>10</v>
      </c>
      <c r="C142" s="10">
        <v>9.39</v>
      </c>
    </row>
    <row r="143" ht="22.5" customHeight="1">
      <c r="A143" s="9">
        <v>45945.847016643515</v>
      </c>
      <c r="B143" s="10" t="s">
        <v>10</v>
      </c>
      <c r="C143" s="10">
        <v>8.16</v>
      </c>
    </row>
    <row r="144" ht="22.5" customHeight="1">
      <c r="A144" s="9">
        <v>45945.84714099537</v>
      </c>
      <c r="B144" s="10" t="s">
        <v>10</v>
      </c>
      <c r="C144" s="10">
        <v>8.53</v>
      </c>
    </row>
    <row r="145" ht="22.5" customHeight="1">
      <c r="A145" s="9">
        <v>45945.847271597224</v>
      </c>
      <c r="B145" s="10" t="s">
        <v>10</v>
      </c>
      <c r="C145" s="10">
        <v>3.37</v>
      </c>
    </row>
    <row r="146" ht="22.5" customHeight="1">
      <c r="A146" s="9">
        <v>45945.84736046296</v>
      </c>
      <c r="B146" s="10" t="s">
        <v>10</v>
      </c>
      <c r="C146" s="10">
        <v>2.23</v>
      </c>
    </row>
    <row r="147" ht="22.5" customHeight="1">
      <c r="A147" s="9">
        <v>45945.84744056713</v>
      </c>
      <c r="B147" s="10" t="s">
        <v>10</v>
      </c>
      <c r="C147" s="10">
        <v>2.87</v>
      </c>
    </row>
    <row r="148" ht="22.5" customHeight="1">
      <c r="A148" s="9">
        <v>45945.84752152778</v>
      </c>
      <c r="B148" s="10" t="s">
        <v>10</v>
      </c>
      <c r="C148" s="10">
        <v>3.29</v>
      </c>
    </row>
    <row r="149" ht="22.5" customHeight="1">
      <c r="A149" s="9">
        <v>45945.84764947917</v>
      </c>
      <c r="B149" s="10" t="s">
        <v>11</v>
      </c>
      <c r="C149" s="10">
        <v>1.6</v>
      </c>
    </row>
    <row r="150" ht="22.5" customHeight="1">
      <c r="A150" s="9">
        <v>45945.847740428246</v>
      </c>
      <c r="B150" s="10" t="s">
        <v>11</v>
      </c>
      <c r="C150" s="10">
        <v>1.48</v>
      </c>
    </row>
    <row r="151" ht="22.5" customHeight="1">
      <c r="A151" s="9">
        <v>45945.84782831019</v>
      </c>
      <c r="B151" s="10" t="s">
        <v>11</v>
      </c>
      <c r="C151" s="10">
        <v>1.5</v>
      </c>
    </row>
    <row r="152" ht="22.5" customHeight="1">
      <c r="A152" s="9">
        <v>45945.84794104166</v>
      </c>
      <c r="B152" s="10" t="s">
        <v>23</v>
      </c>
      <c r="C152" s="10">
        <v>16.54</v>
      </c>
    </row>
    <row r="153" ht="22.5" customHeight="1">
      <c r="A153" s="9">
        <v>45945.848074270834</v>
      </c>
      <c r="B153" s="10" t="s">
        <v>18</v>
      </c>
      <c r="C153" s="10">
        <v>9.44</v>
      </c>
    </row>
    <row r="154" ht="22.5" customHeight="1">
      <c r="A154" s="9">
        <v>45945.84822111111</v>
      </c>
      <c r="B154" s="10" t="s">
        <v>9</v>
      </c>
      <c r="C154" s="10">
        <v>16.55</v>
      </c>
    </row>
    <row r="155" ht="22.5" customHeight="1">
      <c r="A155" s="9">
        <v>45945.848341296296</v>
      </c>
      <c r="B155" s="10" t="s">
        <v>9</v>
      </c>
      <c r="C155" s="10">
        <v>15.42</v>
      </c>
    </row>
    <row r="156" ht="22.5" customHeight="1">
      <c r="A156" s="9">
        <v>45945.84861123843</v>
      </c>
      <c r="B156" s="10" t="s">
        <v>8</v>
      </c>
      <c r="C156" s="10">
        <v>8.25</v>
      </c>
    </row>
    <row r="157" ht="22.5" customHeight="1">
      <c r="A157" s="9">
        <v>45945.848758692126</v>
      </c>
      <c r="B157" s="10" t="s">
        <v>19</v>
      </c>
      <c r="C157" s="10">
        <v>18.39</v>
      </c>
    </row>
    <row r="158" ht="22.5" customHeight="1">
      <c r="A158" s="9">
        <v>45945.84886565972</v>
      </c>
      <c r="B158" s="10" t="s">
        <v>19</v>
      </c>
      <c r="C158" s="10">
        <v>9.55</v>
      </c>
    </row>
    <row r="159" ht="22.5" customHeight="1">
      <c r="A159" s="9">
        <v>45945.84915018518</v>
      </c>
      <c r="B159" s="10" t="s">
        <v>11</v>
      </c>
      <c r="C159" s="10">
        <v>2.76</v>
      </c>
    </row>
    <row r="160" ht="22.5" customHeight="1">
      <c r="A160" s="9">
        <v>45945.84927626158</v>
      </c>
      <c r="B160" s="10" t="s">
        <v>11</v>
      </c>
      <c r="C160" s="10">
        <v>2.52</v>
      </c>
    </row>
    <row r="161" ht="22.5" customHeight="1">
      <c r="A161" s="9">
        <v>45945.849373969904</v>
      </c>
      <c r="B161" s="10" t="s">
        <v>9</v>
      </c>
      <c r="C161" s="10">
        <v>16.0</v>
      </c>
    </row>
    <row r="162" ht="22.5" customHeight="1">
      <c r="A162" s="9">
        <v>45945.84946766203</v>
      </c>
      <c r="B162" s="10" t="s">
        <v>9</v>
      </c>
      <c r="C162" s="10">
        <v>15.16</v>
      </c>
    </row>
    <row r="163" ht="22.5" customHeight="1">
      <c r="A163" s="9">
        <v>45945.8495878588</v>
      </c>
      <c r="B163" s="10" t="s">
        <v>13</v>
      </c>
      <c r="C163" s="10">
        <v>15.08</v>
      </c>
    </row>
    <row r="164" ht="22.5" customHeight="1">
      <c r="A164" s="9">
        <v>45945.849682835644</v>
      </c>
      <c r="B164" s="10" t="s">
        <v>13</v>
      </c>
      <c r="C164" s="10">
        <v>15.7</v>
      </c>
    </row>
    <row r="165" ht="22.5" customHeight="1">
      <c r="A165" s="9">
        <v>45945.84985392361</v>
      </c>
      <c r="B165" s="10" t="s">
        <v>13</v>
      </c>
      <c r="C165" s="10">
        <v>18.2</v>
      </c>
    </row>
    <row r="166" ht="22.5" customHeight="1">
      <c r="A166" s="9">
        <v>45945.84996399305</v>
      </c>
      <c r="B166" s="10" t="s">
        <v>13</v>
      </c>
      <c r="C166" s="10">
        <v>13.7</v>
      </c>
    </row>
    <row r="167" ht="22.5" customHeight="1">
      <c r="A167" s="9">
        <v>45945.85015351852</v>
      </c>
      <c r="B167" s="10" t="s">
        <v>14</v>
      </c>
      <c r="C167" s="10">
        <v>10.8</v>
      </c>
    </row>
    <row r="168" ht="22.5" customHeight="1">
      <c r="A168" s="9">
        <v>45945.85024465278</v>
      </c>
      <c r="B168" s="10" t="s">
        <v>14</v>
      </c>
      <c r="C168" s="10">
        <v>9.31</v>
      </c>
    </row>
    <row r="169" ht="22.5" customHeight="1">
      <c r="A169" s="9">
        <v>45945.85040082176</v>
      </c>
      <c r="B169" s="10" t="s">
        <v>21</v>
      </c>
      <c r="C169" s="10">
        <v>15.5</v>
      </c>
    </row>
    <row r="170" ht="22.5" customHeight="1">
      <c r="A170" s="9">
        <v>45945.85055644676</v>
      </c>
      <c r="B170" s="10" t="s">
        <v>21</v>
      </c>
      <c r="C170" s="10">
        <v>20.26</v>
      </c>
    </row>
    <row r="171" ht="22.5" customHeight="1">
      <c r="A171" s="9">
        <v>45945.8507149537</v>
      </c>
      <c r="B171" s="10" t="s">
        <v>8</v>
      </c>
      <c r="C171" s="10">
        <v>8.24</v>
      </c>
    </row>
    <row r="172" ht="22.5" customHeight="1">
      <c r="A172" s="9">
        <v>45945.85081089121</v>
      </c>
      <c r="B172" s="10" t="s">
        <v>8</v>
      </c>
      <c r="C172" s="10">
        <v>5.8</v>
      </c>
    </row>
    <row r="173" ht="22.5" customHeight="1">
      <c r="A173" s="9">
        <v>45945.85100766204</v>
      </c>
      <c r="B173" s="10" t="s">
        <v>18</v>
      </c>
      <c r="C173" s="10">
        <v>5.38</v>
      </c>
    </row>
    <row r="174" ht="22.5" customHeight="1">
      <c r="A174" s="9">
        <v>45945.851142858795</v>
      </c>
      <c r="B174" s="10" t="s">
        <v>18</v>
      </c>
      <c r="C174" s="10">
        <v>3.18</v>
      </c>
    </row>
    <row r="175" ht="22.5" customHeight="1">
      <c r="A175" s="9">
        <v>45945.85124564815</v>
      </c>
      <c r="B175" s="10" t="s">
        <v>19</v>
      </c>
      <c r="C175" s="10">
        <v>12.2</v>
      </c>
    </row>
    <row r="176" ht="22.5" customHeight="1">
      <c r="A176" s="9">
        <v>45945.85134245371</v>
      </c>
      <c r="B176" s="10" t="s">
        <v>19</v>
      </c>
      <c r="C176" s="10">
        <v>10.44</v>
      </c>
    </row>
    <row r="177" ht="22.5" customHeight="1">
      <c r="A177" s="9">
        <v>45945.85147883101</v>
      </c>
      <c r="B177" s="10" t="s">
        <v>20</v>
      </c>
      <c r="C177" s="10">
        <v>6.14</v>
      </c>
    </row>
    <row r="178" ht="22.5" customHeight="1">
      <c r="A178" s="9">
        <v>45945.85159921296</v>
      </c>
      <c r="B178" s="10" t="s">
        <v>20</v>
      </c>
      <c r="C178" s="10">
        <v>6.3</v>
      </c>
    </row>
  </sheetData>
  <drawing r:id="rId1"/>
  <tableParts count="1">
    <tablePart r:id="rId3"/>
  </tableParts>
</worksheet>
</file>